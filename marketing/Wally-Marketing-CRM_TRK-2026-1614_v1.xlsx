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dence" sheetId="2" state="visible" r:id="rId2"/>
    <sheet name="Dashboard" sheetId="3" state="visible" r:id="rId3"/>
    <sheet name="Lists" sheetId="4" state="hidden" r:id="rId4"/>
    <sheet name="Leads" sheetId="5" state="visible" r:id="rId5"/>
    <sheet name="Appointments" sheetId="6" state="visible" r:id="rId6"/>
  </sheets>
  <definedNames>
    <definedName name="_xlnm._FilterDatabase" localSheetId="4" hidden="1">'Leads'!$A$1:$P$502</definedName>
    <definedName name="_xlnm._FilterDatabase" localSheetId="5" hidden="1">'Appointments'!$A$1:$K$151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($#,##0);-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color rgb="0016324F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4" borderId="1" pivotButton="0" quotePrefix="0" xfId="0"/>
    <xf numFmtId="0" fontId="0" fillId="4" borderId="1" pivotButton="0" quotePrefix="0" xfId="0"/>
    <xf numFmtId="3" fontId="3" fillId="0" borderId="1" applyAlignment="1" pivotButton="0" quotePrefix="0" xfId="0">
      <alignment horizontal="center"/>
    </xf>
    <xf numFmtId="0" fontId="8" fillId="0" borderId="1" pivotButton="0" quotePrefix="0" xfId="0"/>
    <xf numFmtId="166" fontId="3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165" fontId="2" fillId="3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Wally Marketing CRM</t>
        </is>
      </c>
    </row>
    <row r="2">
      <c r="A2" s="2" t="inlineStr">
        <is>
          <t>TRK-2026-1614  ·  Team USA Sales / CU Inspections of South Florida</t>
        </is>
      </c>
    </row>
    <row r="3">
      <c r="A3" s="2" t="inlineStr"/>
    </row>
    <row r="4">
      <c r="A4" s="3" t="inlineStr">
        <is>
          <t>WHAT THIS IS</t>
        </is>
      </c>
    </row>
    <row r="5">
      <c r="A5" s="2" t="inlineStr">
        <is>
          <t>The lead pipeline for the code-enforcement mailing campaign. One row per property owner.</t>
        </is>
      </c>
    </row>
    <row r="6">
      <c r="A6" s="2" t="inlineStr">
        <is>
          <t>It replaces the Excel CRM that was proposed and never delivered.</t>
        </is>
      </c>
    </row>
    <row r="7">
      <c r="A7" s="2" t="inlineStr"/>
    </row>
    <row r="8">
      <c r="A8" s="3" t="inlineStr">
        <is>
          <t>THE ONLY TWO COLUMNS YOU HAVE TO KEEP CURRENT</t>
        </is>
      </c>
    </row>
    <row r="9">
      <c r="A9" s="2" t="inlineStr">
        <is>
          <t xml:space="preserve">   Stage          — where the lead is right now. Pick from the drop-down.</t>
        </is>
      </c>
    </row>
    <row r="10">
      <c r="A10" s="2" t="inlineStr">
        <is>
          <t xml:space="preserve">   Last Contact   — the date you last mailed or called. Type the date.</t>
        </is>
      </c>
    </row>
    <row r="11">
      <c r="A11" s="2" t="inlineStr"/>
    </row>
    <row r="12">
      <c r="A12" s="2" t="inlineStr">
        <is>
          <t>Everything else calculates itself. Next Action, Next Action Date and the Flag</t>
        </is>
      </c>
    </row>
    <row r="13">
      <c r="A13" s="2" t="inlineStr">
        <is>
          <t>all update the moment you change Stage or Last Contact.</t>
        </is>
      </c>
    </row>
    <row r="14">
      <c r="A14" s="2" t="inlineStr"/>
    </row>
    <row r="15">
      <c r="A15" s="3" t="inlineStr">
        <is>
          <t>YELLOW CELLS ARE THE ONES YOU FILL IN. White cells are formulas — leave them alone.</t>
        </is>
      </c>
    </row>
    <row r="16">
      <c r="A16" s="2" t="inlineStr"/>
    </row>
    <row r="17">
      <c r="A17" s="3" t="inlineStr">
        <is>
          <t>HOW TO WORK IT EACH MORNING</t>
        </is>
      </c>
    </row>
    <row r="18">
      <c r="A18" s="2" t="inlineStr">
        <is>
          <t xml:space="preserve">   1. Open the Dashboard tab. It tells you how many are overdue and how many are due today.</t>
        </is>
      </c>
    </row>
    <row r="19">
      <c r="A19" s="2" t="inlineStr">
        <is>
          <t xml:space="preserve">   2. Go to the Leads tab. Click the arrow on the Flag column and tick OVERDUE and DUE TODAY.</t>
        </is>
      </c>
    </row>
    <row r="20">
      <c r="A20" s="2" t="inlineStr">
        <is>
          <t xml:space="preserve">   3. Work that list top to bottom.</t>
        </is>
      </c>
    </row>
    <row r="21">
      <c r="A21" s="2" t="inlineStr">
        <is>
          <t xml:space="preserve">   4. After each contact, change Stage and set Last Contact to today. The row reschedules itself.</t>
        </is>
      </c>
    </row>
    <row r="22">
      <c r="A22" s="2" t="inlineStr"/>
    </row>
    <row r="23">
      <c r="A23" s="3" t="inlineStr">
        <is>
          <t>THE CADENCE</t>
        </is>
      </c>
    </row>
    <row r="24">
      <c r="A24" s="2" t="inlineStr">
        <is>
          <t>Letter 1, then a call a week later, then a second letter, then a second call, then a final letter.</t>
        </is>
      </c>
    </row>
    <row r="25">
      <c r="A25" s="2" t="inlineStr">
        <is>
          <t>The Cadence tab holds the day intervals. Change a number there and every lead re-times.</t>
        </is>
      </c>
    </row>
    <row r="26">
      <c r="A26" s="2" t="inlineStr"/>
    </row>
    <row r="27">
      <c r="A27" s="3" t="inlineStr">
        <is>
          <t>TWO RULES THAT PROTECT YOU</t>
        </is>
      </c>
    </row>
    <row r="28">
      <c r="A28" s="2" t="inlineStr">
        <is>
          <t xml:space="preserve">   Anyone who says stop goes to Stage 'DNC / Stop' and is never contacted again.</t>
        </is>
      </c>
    </row>
    <row r="29">
      <c r="A29" s="2" t="inlineStr">
        <is>
          <t xml:space="preserve">   Every letter must carry 'This is not a government notice' in the first block.</t>
        </is>
      </c>
    </row>
    <row r="30">
      <c r="A30" s="2" t="inlineStr"/>
    </row>
    <row r="31">
      <c r="A31" s="2" t="inlineStr">
        <is>
          <t>Row 2 of the Leads tab is an example showing the expected format. Delete it before you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</cols>
  <sheetData>
    <row r="1">
      <c r="A1" s="4" t="inlineStr">
        <is>
          <t>Cadence — edit the yellow day intervals to re-time every lead</t>
        </is>
      </c>
    </row>
    <row r="3">
      <c r="A3" s="5" t="inlineStr">
        <is>
          <t>Stage</t>
        </is>
      </c>
      <c r="B3" s="5" t="inlineStr">
        <is>
          <t>Next Action</t>
        </is>
      </c>
      <c r="C3" s="5" t="inlineStr">
        <is>
          <t>Days After Last Contact</t>
        </is>
      </c>
    </row>
    <row r="4">
      <c r="A4" s="6" t="inlineStr">
        <is>
          <t>1 - Letter 1 mailed</t>
        </is>
      </c>
      <c r="B4" s="6" t="inlineStr">
        <is>
          <t>Call 1</t>
        </is>
      </c>
      <c r="C4" s="7" t="n">
        <v>7</v>
      </c>
    </row>
    <row r="5">
      <c r="A5" s="6" t="inlineStr">
        <is>
          <t>2 - Call 1 done</t>
        </is>
      </c>
      <c r="B5" s="6" t="inlineStr">
        <is>
          <t>Mail letter 2</t>
        </is>
      </c>
      <c r="C5" s="7" t="n">
        <v>7</v>
      </c>
    </row>
    <row r="6">
      <c r="A6" s="6" t="inlineStr">
        <is>
          <t>3 - Letter 2 mailed</t>
        </is>
      </c>
      <c r="B6" s="6" t="inlineStr">
        <is>
          <t>Call 2</t>
        </is>
      </c>
      <c r="C6" s="7" t="n">
        <v>7</v>
      </c>
    </row>
    <row r="7">
      <c r="A7" s="6" t="inlineStr">
        <is>
          <t>4 - Call 2 done</t>
        </is>
      </c>
      <c r="B7" s="6" t="inlineStr">
        <is>
          <t>Mail letter 3 (final)</t>
        </is>
      </c>
      <c r="C7" s="7" t="n">
        <v>9</v>
      </c>
    </row>
    <row r="8">
      <c r="A8" s="6" t="inlineStr">
        <is>
          <t>5 - Letter 3 mailed</t>
        </is>
      </c>
      <c r="B8" s="6" t="inlineStr">
        <is>
          <t>Close or archive</t>
        </is>
      </c>
      <c r="C8" s="7" t="n">
        <v>15</v>
      </c>
    </row>
    <row r="9">
      <c r="A9" s="6" t="inlineStr">
        <is>
          <t>6 - Responded</t>
        </is>
      </c>
      <c r="B9" s="6" t="inlineStr">
        <is>
          <t>Book the appointment</t>
        </is>
      </c>
      <c r="C9" s="7" t="n">
        <v>1</v>
      </c>
    </row>
    <row r="10">
      <c r="A10" s="6" t="inlineStr">
        <is>
          <t>7 - Appointment booked</t>
        </is>
      </c>
      <c r="B10" s="6" t="inlineStr">
        <is>
          <t>Deliver DD package</t>
        </is>
      </c>
      <c r="C10" s="7" t="n">
        <v>3</v>
      </c>
    </row>
    <row r="11">
      <c r="A11" s="6" t="inlineStr">
        <is>
          <t>8 - Closed - WON</t>
        </is>
      </c>
      <c r="B11" s="6" t="inlineStr">
        <is>
          <t>None - won</t>
        </is>
      </c>
      <c r="C11" s="7" t="n">
        <v>3650</v>
      </c>
    </row>
    <row r="12">
      <c r="A12" s="6" t="inlineStr">
        <is>
          <t>9 - Closed - no interest</t>
        </is>
      </c>
      <c r="B12" s="6" t="inlineStr">
        <is>
          <t>None - closed</t>
        </is>
      </c>
      <c r="C12" s="7" t="n">
        <v>3650</v>
      </c>
    </row>
    <row r="13">
      <c r="A13" s="6" t="inlineStr">
        <is>
          <t>10 - DNC / Stop</t>
        </is>
      </c>
      <c r="B13" s="6" t="inlineStr">
        <is>
          <t>NEVER CONTACT AGAIN</t>
        </is>
      </c>
      <c r="C13" s="7" t="n">
        <v>3650</v>
      </c>
    </row>
    <row r="15">
      <c r="A15" s="8" t="inlineStr">
        <is>
          <t>Stages 8, 9 and 10 use 3650 days (ten years) so closed and DNC leads never resurface in the queue.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>
      <c r="A1" s="4" t="inlineStr">
        <is>
          <t>Dashboard</t>
        </is>
      </c>
    </row>
    <row r="2">
      <c r="A2" s="8" t="inlineStr">
        <is>
          <t>Everything here counts the Leads tab. Nothing to type.</t>
        </is>
      </c>
    </row>
    <row r="4">
      <c r="A4" s="9" t="inlineStr">
        <is>
          <t>TODAY'S WORK</t>
        </is>
      </c>
      <c r="B4" s="10" t="n"/>
      <c r="C4" s="10" t="n"/>
    </row>
    <row r="5">
      <c r="A5" s="6" t="inlineStr">
        <is>
          <t>Overdue</t>
        </is>
      </c>
      <c r="B5" s="11">
        <f>COUNTIF(Leads!$N$2:$N$502,"OVERDUE")</f>
        <v/>
      </c>
      <c r="C5" s="12" t="inlineStr">
        <is>
          <t>work these first</t>
        </is>
      </c>
    </row>
    <row r="6">
      <c r="A6" s="6" t="inlineStr">
        <is>
          <t>Due today</t>
        </is>
      </c>
      <c r="B6" s="11">
        <f>COUNTIF(Leads!$N$2:$N$502,"DUE TODAY")</f>
        <v/>
      </c>
      <c r="C6" s="12" t="inlineStr"/>
    </row>
    <row r="7">
      <c r="A7" s="6" t="inlineStr">
        <is>
          <t>Due this week</t>
        </is>
      </c>
      <c r="B7" s="11">
        <f>COUNTIF(Leads!$N$2:$N$502,"THIS WEEK")</f>
        <v/>
      </c>
      <c r="C7" s="12" t="inlineStr"/>
    </row>
    <row r="9">
      <c r="A9" s="9" t="inlineStr">
        <is>
          <t>PIPELINE</t>
        </is>
      </c>
      <c r="B9" s="10" t="n"/>
      <c r="C9" s="10" t="n"/>
    </row>
    <row r="10">
      <c r="A10" s="6" t="inlineStr">
        <is>
          <t>Total leads</t>
        </is>
      </c>
      <c r="B10" s="11">
        <f>COUNTA(Leads!$A$2:$A$502)</f>
        <v/>
      </c>
      <c r="C10" s="12" t="inlineStr"/>
    </row>
    <row r="11">
      <c r="A11" s="6" t="inlineStr">
        <is>
          <t>Still in the mail sequence</t>
        </is>
      </c>
      <c r="B11" s="11">
        <f>COUNTIFS(Leads!$J$2:$J$502,"1*")+COUNTIFS(Leads!$J$2:$J$502,"2*")+COUNTIFS(Leads!$J$2:$J$502,"3*")+COUNTIFS(Leads!$J$2:$J$502,"4*")+COUNTIFS(Leads!$J$2:$J$502,"5*")</f>
        <v/>
      </c>
      <c r="C11" s="12" t="inlineStr"/>
    </row>
    <row r="12">
      <c r="A12" s="6" t="inlineStr">
        <is>
          <t>Responded</t>
        </is>
      </c>
      <c r="B12" s="11">
        <f>COUNTIF(Leads!$J$2:$J$502,"6*")</f>
        <v/>
      </c>
      <c r="C12" s="12" t="inlineStr"/>
    </row>
    <row r="13">
      <c r="A13" s="6" t="inlineStr">
        <is>
          <t>Appointments booked</t>
        </is>
      </c>
      <c r="B13" s="11">
        <f>COUNTIF(Leads!$J$2:$J$502,"7*")</f>
        <v/>
      </c>
      <c r="C13" s="12" t="inlineStr">
        <is>
          <t>the number that matters</t>
        </is>
      </c>
    </row>
    <row r="14">
      <c r="A14" s="6" t="inlineStr">
        <is>
          <t>Closed - WON</t>
        </is>
      </c>
      <c r="B14" s="11">
        <f>COUNTIF(Leads!$J$2:$J$502,"8*")</f>
        <v/>
      </c>
      <c r="C14" s="12" t="inlineStr"/>
    </row>
    <row r="15">
      <c r="A15" s="6" t="inlineStr">
        <is>
          <t>Closed - no interest</t>
        </is>
      </c>
      <c r="B15" s="11">
        <f>COUNTIF(Leads!$J$2:$J$502,"9*")</f>
        <v/>
      </c>
      <c r="C15" s="12" t="inlineStr"/>
    </row>
    <row r="16">
      <c r="A16" s="6" t="inlineStr">
        <is>
          <t>DNC / Stop</t>
        </is>
      </c>
      <c r="B16" s="11">
        <f>COUNTIF(Leads!$J$2:$J$502,"10*")</f>
        <v/>
      </c>
      <c r="C16" s="12" t="inlineStr">
        <is>
          <t>never contact</t>
        </is>
      </c>
    </row>
    <row r="18">
      <c r="A18" s="9" t="inlineStr">
        <is>
          <t>RATES</t>
        </is>
      </c>
      <c r="B18" s="10" t="n"/>
      <c r="C18" s="10" t="n"/>
    </row>
    <row r="19">
      <c r="A19" s="6" t="inlineStr">
        <is>
          <t>Response rate</t>
        </is>
      </c>
      <c r="B19" s="13">
        <f>IF(COUNTA(Leads!$A$2:$A$502)=0,0,(COUNTIF(Leads!$J$2:$J$502,"6*")+COUNTIF(Leads!$J$2:$J$502,"7*")+COUNTIF(Leads!$J$2:$J$502,"8*"))/COUNTA(Leads!$A$2:$A$502))</f>
        <v/>
      </c>
      <c r="C19" s="12" t="inlineStr"/>
    </row>
    <row r="20">
      <c r="A20" s="6" t="inlineStr">
        <is>
          <t>Appointment rate</t>
        </is>
      </c>
      <c r="B20" s="13">
        <f>IF(COUNTA(Leads!$A$2:$A$502)=0,0,(COUNTIF(Leads!$J$2:$J$502,"7*")+COUNTIF(Leads!$J$2:$J$502,"8*"))/COUNTA(Leads!$A$2:$A$502))</f>
        <v/>
      </c>
      <c r="C20" s="12" t="inlineStr"/>
    </row>
    <row r="21">
      <c r="A21" s="6" t="inlineStr">
        <is>
          <t>Win rate</t>
        </is>
      </c>
      <c r="B21" s="13">
        <f>IF(COUNTA(Leads!$A$2:$A$502)=0,0,COUNTIF(Leads!$J$2:$J$502,"8*")/COUNTA(Leads!$A$2:$A$502))</f>
        <v/>
      </c>
      <c r="C21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4" t="inlineStr">
        <is>
          <t>Source</t>
        </is>
      </c>
    </row>
    <row r="2">
      <c r="A2" s="15" t="inlineStr">
        <is>
          <t>Code case search</t>
        </is>
      </c>
    </row>
    <row r="3">
      <c r="A3" s="15" t="inlineStr">
        <is>
          <t>Unsafe structures</t>
        </is>
      </c>
    </row>
    <row r="4">
      <c r="A4" s="15" t="inlineStr">
        <is>
          <t>Sunbiz officer</t>
        </is>
      </c>
    </row>
    <row r="5">
      <c r="A5" s="15" t="inlineStr">
        <is>
          <t>Referral</t>
        </is>
      </c>
    </row>
    <row r="6">
      <c r="A6" s="15" t="inlineStr">
        <is>
          <t>Walk-in</t>
        </is>
      </c>
    </row>
    <row r="7">
      <c r="A7" s="15" t="inlineStr">
        <is>
          <t>Repeat client</t>
        </is>
      </c>
    </row>
    <row r="8">
      <c r="A8" s="15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4" customWidth="1" min="4" max="4"/>
    <col width="30" customWidth="1" min="5" max="5"/>
    <col width="20" customWidth="1" min="6" max="6"/>
    <col width="16" customWidth="1" min="7" max="7"/>
    <col width="15" customWidth="1" min="8" max="8"/>
    <col width="24" customWidth="1" min="9" max="9"/>
    <col width="22" customWidth="1" min="10" max="10"/>
    <col width="13" customWidth="1" min="11" max="11"/>
    <col width="22" customWidth="1" min="12" max="12"/>
    <col width="16" customWidth="1" min="13" max="13"/>
    <col width="13" customWidth="1" min="14" max="14"/>
    <col width="17" customWidth="1" min="15" max="15"/>
    <col width="40" customWidth="1" min="16" max="16"/>
  </cols>
  <sheetData>
    <row r="1" ht="30" customHeight="1">
      <c r="A1" s="16" t="inlineStr">
        <is>
          <t>Lead ID</t>
        </is>
      </c>
      <c r="B1" s="16" t="inlineStr">
        <is>
          <t>Date Added</t>
        </is>
      </c>
      <c r="C1" s="16" t="inlineStr">
        <is>
          <t>Source</t>
        </is>
      </c>
      <c r="D1" s="16" t="inlineStr">
        <is>
          <t>Owner Name</t>
        </is>
      </c>
      <c r="E1" s="16" t="inlineStr">
        <is>
          <t>Property Address</t>
        </is>
      </c>
      <c r="F1" s="16" t="inlineStr">
        <is>
          <t>Folio</t>
        </is>
      </c>
      <c r="G1" s="16" t="inlineStr">
        <is>
          <t>Case Number</t>
        </is>
      </c>
      <c r="H1" s="16" t="inlineStr">
        <is>
          <t>Phone</t>
        </is>
      </c>
      <c r="I1" s="16" t="inlineStr">
        <is>
          <t>Email</t>
        </is>
      </c>
      <c r="J1" s="16" t="inlineStr">
        <is>
          <t>Stage</t>
        </is>
      </c>
      <c r="K1" s="16" t="inlineStr">
        <is>
          <t>Last Contact</t>
        </is>
      </c>
      <c r="L1" s="16" t="inlineStr">
        <is>
          <t>Next Action</t>
        </is>
      </c>
      <c r="M1" s="16" t="inlineStr">
        <is>
          <t>Next Action Date</t>
        </is>
      </c>
      <c r="N1" s="16" t="inlineStr">
        <is>
          <t>Flag</t>
        </is>
      </c>
      <c r="O1" s="16" t="inlineStr">
        <is>
          <t>TRK</t>
        </is>
      </c>
      <c r="P1" s="16" t="inlineStr">
        <is>
          <t>Notes</t>
        </is>
      </c>
    </row>
    <row r="2">
      <c r="A2" s="17" t="inlineStr">
        <is>
          <t>W-0001</t>
        </is>
      </c>
      <c r="B2" s="18" t="n">
        <v>46250</v>
      </c>
      <c r="C2" s="17" t="inlineStr">
        <is>
          <t>Code case search</t>
        </is>
      </c>
      <c r="D2" s="17" t="inlineStr">
        <is>
          <t>MARIA GONZALEZ</t>
        </is>
      </c>
      <c r="E2" s="17" t="inlineStr">
        <is>
          <t>1185 SW 183 ST</t>
        </is>
      </c>
      <c r="F2" s="17" t="inlineStr">
        <is>
          <t>30-5032-000-1352</t>
        </is>
      </c>
      <c r="G2" s="17" t="inlineStr">
        <is>
          <t>CE-2026-04412</t>
        </is>
      </c>
      <c r="H2" s="17" t="inlineStr">
        <is>
          <t>305-555-0142</t>
        </is>
      </c>
      <c r="I2" s="17" t="inlineStr">
        <is>
          <t>mgonzalez@example.com</t>
        </is>
      </c>
      <c r="J2" s="17" t="inlineStr">
        <is>
          <t>1 - Letter 1 mailed</t>
        </is>
      </c>
      <c r="K2" s="18" t="n">
        <v>46250</v>
      </c>
      <c r="L2" s="6">
        <f>IF($J2="","",IFERROR(INDEX(Cadence!$B$4:$B$13,MATCH($J2,Cadence!$A$4:$A$13,0)),""))</f>
        <v/>
      </c>
      <c r="M2" s="19">
        <f>IF($J2="","",IFERROR(IF($K2="",$B2,$K2)+INDEX(Cadence!$C$4:$C$13,MATCH($J2,Cadence!$A$4:$A$13,0)),""))</f>
        <v/>
      </c>
      <c r="N2" s="20">
        <f>IF($M2="","",IF($M2&lt;TODAY(),"OVERDUE",IF($M2=TODAY(),"DUE TODAY",IF($M2&lt;=TODAY()+7,"THIS WEEK","LATER"))))</f>
        <v/>
      </c>
      <c r="O2" s="17" t="inlineStr">
        <is>
          <t>TRK-2026-1629</t>
        </is>
      </c>
      <c r="P2" s="17" t="inlineStr">
        <is>
          <t>EXAMPLE ROW - delete before you start</t>
        </is>
      </c>
    </row>
    <row r="3">
      <c r="A3" s="17" t="n"/>
      <c r="B3" s="18" t="n"/>
      <c r="C3" s="17" t="n"/>
      <c r="D3" s="17" t="n"/>
      <c r="E3" s="17" t="n"/>
      <c r="F3" s="17" t="n"/>
      <c r="G3" s="17" t="n"/>
      <c r="H3" s="17" t="n"/>
      <c r="I3" s="17" t="n"/>
      <c r="J3" s="17" t="n"/>
      <c r="K3" s="18" t="n"/>
      <c r="L3" s="6">
        <f>IF($J3="","",IFERROR(INDEX(Cadence!$B$4:$B$13,MATCH($J3,Cadence!$A$4:$A$13,0)),""))</f>
        <v/>
      </c>
      <c r="M3" s="19">
        <f>IF($J3="","",IFERROR(IF($K3="",$B3,$K3)+INDEX(Cadence!$C$4:$C$13,MATCH($J3,Cadence!$A$4:$A$13,0)),""))</f>
        <v/>
      </c>
      <c r="N3" s="20">
        <f>IF($M3="","",IF($M3&lt;TODAY(),"OVERDUE",IF($M3=TODAY(),"DUE TODAY",IF($M3&lt;=TODAY()+7,"THIS WEEK","LATER"))))</f>
        <v/>
      </c>
      <c r="O3" s="17" t="n"/>
      <c r="P3" s="17" t="n"/>
    </row>
    <row r="4">
      <c r="A4" s="17" t="n"/>
      <c r="B4" s="18" t="n"/>
      <c r="C4" s="17" t="n"/>
      <c r="D4" s="17" t="n"/>
      <c r="E4" s="17" t="n"/>
      <c r="F4" s="17" t="n"/>
      <c r="G4" s="17" t="n"/>
      <c r="H4" s="17" t="n"/>
      <c r="I4" s="17" t="n"/>
      <c r="J4" s="17" t="n"/>
      <c r="K4" s="18" t="n"/>
      <c r="L4" s="6">
        <f>IF($J4="","",IFERROR(INDEX(Cadence!$B$4:$B$13,MATCH($J4,Cadence!$A$4:$A$13,0)),""))</f>
        <v/>
      </c>
      <c r="M4" s="19">
        <f>IF($J4="","",IFERROR(IF($K4="",$B4,$K4)+INDEX(Cadence!$C$4:$C$13,MATCH($J4,Cadence!$A$4:$A$13,0)),""))</f>
        <v/>
      </c>
      <c r="N4" s="20">
        <f>IF($M4="","",IF($M4&lt;TODAY(),"OVERDUE",IF($M4=TODAY(),"DUE TODAY",IF($M4&lt;=TODAY()+7,"THIS WEEK","LATER"))))</f>
        <v/>
      </c>
      <c r="O4" s="17" t="n"/>
      <c r="P4" s="17" t="n"/>
    </row>
    <row r="5">
      <c r="A5" s="17" t="n"/>
      <c r="B5" s="18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6">
        <f>IF($J5="","",IFERROR(INDEX(Cadence!$B$4:$B$13,MATCH($J5,Cadence!$A$4:$A$13,0)),""))</f>
        <v/>
      </c>
      <c r="M5" s="19">
        <f>IF($J5="","",IFERROR(IF($K5="",$B5,$K5)+INDEX(Cadence!$C$4:$C$13,MATCH($J5,Cadence!$A$4:$A$13,0)),""))</f>
        <v/>
      </c>
      <c r="N5" s="20">
        <f>IF($M5="","",IF($M5&lt;TODAY(),"OVERDUE",IF($M5=TODAY(),"DUE TODAY",IF($M5&lt;=TODAY()+7,"THIS WEEK","LATER"))))</f>
        <v/>
      </c>
      <c r="O5" s="17" t="n"/>
      <c r="P5" s="17" t="n"/>
    </row>
    <row r="6">
      <c r="A6" s="17" t="n"/>
      <c r="B6" s="18" t="n"/>
      <c r="C6" s="17" t="n"/>
      <c r="D6" s="17" t="n"/>
      <c r="E6" s="17" t="n"/>
      <c r="F6" s="17" t="n"/>
      <c r="G6" s="17" t="n"/>
      <c r="H6" s="17" t="n"/>
      <c r="I6" s="17" t="n"/>
      <c r="J6" s="17" t="n"/>
      <c r="K6" s="18" t="n"/>
      <c r="L6" s="6">
        <f>IF($J6="","",IFERROR(INDEX(Cadence!$B$4:$B$13,MATCH($J6,Cadence!$A$4:$A$13,0)),""))</f>
        <v/>
      </c>
      <c r="M6" s="19">
        <f>IF($J6="","",IFERROR(IF($K6="",$B6,$K6)+INDEX(Cadence!$C$4:$C$13,MATCH($J6,Cadence!$A$4:$A$13,0)),""))</f>
        <v/>
      </c>
      <c r="N6" s="20">
        <f>IF($M6="","",IF($M6&lt;TODAY(),"OVERDUE",IF($M6=TODAY(),"DUE TODAY",IF($M6&lt;=TODAY()+7,"THIS WEEK","LATER"))))</f>
        <v/>
      </c>
      <c r="O6" s="17" t="n"/>
      <c r="P6" s="17" t="n"/>
    </row>
    <row r="7">
      <c r="A7" s="17" t="n"/>
      <c r="B7" s="18" t="n"/>
      <c r="C7" s="17" t="n"/>
      <c r="D7" s="17" t="n"/>
      <c r="E7" s="17" t="n"/>
      <c r="F7" s="17" t="n"/>
      <c r="G7" s="17" t="n"/>
      <c r="H7" s="17" t="n"/>
      <c r="I7" s="17" t="n"/>
      <c r="J7" s="17" t="n"/>
      <c r="K7" s="18" t="n"/>
      <c r="L7" s="6">
        <f>IF($J7="","",IFERROR(INDEX(Cadence!$B$4:$B$13,MATCH($J7,Cadence!$A$4:$A$13,0)),""))</f>
        <v/>
      </c>
      <c r="M7" s="19">
        <f>IF($J7="","",IFERROR(IF($K7="",$B7,$K7)+INDEX(Cadence!$C$4:$C$13,MATCH($J7,Cadence!$A$4:$A$13,0)),""))</f>
        <v/>
      </c>
      <c r="N7" s="20">
        <f>IF($M7="","",IF($M7&lt;TODAY(),"OVERDUE",IF($M7=TODAY(),"DUE TODAY",IF($M7&lt;=TODAY()+7,"THIS WEEK","LATER"))))</f>
        <v/>
      </c>
      <c r="O7" s="17" t="n"/>
      <c r="P7" s="17" t="n"/>
    </row>
    <row r="8">
      <c r="A8" s="17" t="n"/>
      <c r="B8" s="18" t="n"/>
      <c r="C8" s="17" t="n"/>
      <c r="D8" s="17" t="n"/>
      <c r="E8" s="17" t="n"/>
      <c r="F8" s="17" t="n"/>
      <c r="G8" s="17" t="n"/>
      <c r="H8" s="17" t="n"/>
      <c r="I8" s="17" t="n"/>
      <c r="J8" s="17" t="n"/>
      <c r="K8" s="18" t="n"/>
      <c r="L8" s="6">
        <f>IF($J8="","",IFERROR(INDEX(Cadence!$B$4:$B$13,MATCH($J8,Cadence!$A$4:$A$13,0)),""))</f>
        <v/>
      </c>
      <c r="M8" s="19">
        <f>IF($J8="","",IFERROR(IF($K8="",$B8,$K8)+INDEX(Cadence!$C$4:$C$13,MATCH($J8,Cadence!$A$4:$A$13,0)),""))</f>
        <v/>
      </c>
      <c r="N8" s="20">
        <f>IF($M8="","",IF($M8&lt;TODAY(),"OVERDUE",IF($M8=TODAY(),"DUE TODAY",IF($M8&lt;=TODAY()+7,"THIS WEEK","LATER"))))</f>
        <v/>
      </c>
      <c r="O8" s="17" t="n"/>
      <c r="P8" s="17" t="n"/>
    </row>
    <row r="9">
      <c r="A9" s="17" t="n"/>
      <c r="B9" s="18" t="n"/>
      <c r="C9" s="17" t="n"/>
      <c r="D9" s="17" t="n"/>
      <c r="E9" s="17" t="n"/>
      <c r="F9" s="17" t="n"/>
      <c r="G9" s="17" t="n"/>
      <c r="H9" s="17" t="n"/>
      <c r="I9" s="17" t="n"/>
      <c r="J9" s="17" t="n"/>
      <c r="K9" s="18" t="n"/>
      <c r="L9" s="6">
        <f>IF($J9="","",IFERROR(INDEX(Cadence!$B$4:$B$13,MATCH($J9,Cadence!$A$4:$A$13,0)),""))</f>
        <v/>
      </c>
      <c r="M9" s="19">
        <f>IF($J9="","",IFERROR(IF($K9="",$B9,$K9)+INDEX(Cadence!$C$4:$C$13,MATCH($J9,Cadence!$A$4:$A$13,0)),""))</f>
        <v/>
      </c>
      <c r="N9" s="20">
        <f>IF($M9="","",IF($M9&lt;TODAY(),"OVERDUE",IF($M9=TODAY(),"DUE TODAY",IF($M9&lt;=TODAY()+7,"THIS WEEK","LATER"))))</f>
        <v/>
      </c>
      <c r="O9" s="17" t="n"/>
      <c r="P9" s="17" t="n"/>
    </row>
    <row r="10">
      <c r="A10" s="17" t="n"/>
      <c r="B10" s="18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6">
        <f>IF($J10="","",IFERROR(INDEX(Cadence!$B$4:$B$13,MATCH($J10,Cadence!$A$4:$A$13,0)),""))</f>
        <v/>
      </c>
      <c r="M10" s="19">
        <f>IF($J10="","",IFERROR(IF($K10="",$B10,$K10)+INDEX(Cadence!$C$4:$C$13,MATCH($J10,Cadence!$A$4:$A$13,0)),""))</f>
        <v/>
      </c>
      <c r="N10" s="20">
        <f>IF($M10="","",IF($M10&lt;TODAY(),"OVERDUE",IF($M10=TODAY(),"DUE TODAY",IF($M10&lt;=TODAY()+7,"THIS WEEK","LATER"))))</f>
        <v/>
      </c>
      <c r="O10" s="17" t="n"/>
      <c r="P10" s="17" t="n"/>
    </row>
    <row r="11">
      <c r="A11" s="17" t="n"/>
      <c r="B11" s="18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8" t="n"/>
      <c r="L11" s="6">
        <f>IF($J11="","",IFERROR(INDEX(Cadence!$B$4:$B$13,MATCH($J11,Cadence!$A$4:$A$13,0)),""))</f>
        <v/>
      </c>
      <c r="M11" s="19">
        <f>IF($J11="","",IFERROR(IF($K11="",$B11,$K11)+INDEX(Cadence!$C$4:$C$13,MATCH($J11,Cadence!$A$4:$A$13,0)),""))</f>
        <v/>
      </c>
      <c r="N11" s="20">
        <f>IF($M11="","",IF($M11&lt;TODAY(),"OVERDUE",IF($M11=TODAY(),"DUE TODAY",IF($M11&lt;=TODAY()+7,"THIS WEEK","LATER"))))</f>
        <v/>
      </c>
      <c r="O11" s="17" t="n"/>
      <c r="P11" s="17" t="n"/>
    </row>
    <row r="12">
      <c r="A12" s="17" t="n"/>
      <c r="B12" s="18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6">
        <f>IF($J12="","",IFERROR(INDEX(Cadence!$B$4:$B$13,MATCH($J12,Cadence!$A$4:$A$13,0)),""))</f>
        <v/>
      </c>
      <c r="M12" s="19">
        <f>IF($J12="","",IFERROR(IF($K12="",$B12,$K12)+INDEX(Cadence!$C$4:$C$13,MATCH($J12,Cadence!$A$4:$A$13,0)),""))</f>
        <v/>
      </c>
      <c r="N12" s="20">
        <f>IF($M12="","",IF($M12&lt;TODAY(),"OVERDUE",IF($M12=TODAY(),"DUE TODAY",IF($M12&lt;=TODAY()+7,"THIS WEEK","LATER"))))</f>
        <v/>
      </c>
      <c r="O12" s="17" t="n"/>
      <c r="P12" s="17" t="n"/>
    </row>
    <row r="13">
      <c r="A13" s="17" t="n"/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8" t="n"/>
      <c r="L13" s="6">
        <f>IF($J13="","",IFERROR(INDEX(Cadence!$B$4:$B$13,MATCH($J13,Cadence!$A$4:$A$13,0)),""))</f>
        <v/>
      </c>
      <c r="M13" s="19">
        <f>IF($J13="","",IFERROR(IF($K13="",$B13,$K13)+INDEX(Cadence!$C$4:$C$13,MATCH($J13,Cadence!$A$4:$A$13,0)),""))</f>
        <v/>
      </c>
      <c r="N13" s="20">
        <f>IF($M13="","",IF($M13&lt;TODAY(),"OVERDUE",IF($M13=TODAY(),"DUE TODAY",IF($M13&lt;=TODAY()+7,"THIS WEEK","LATER"))))</f>
        <v/>
      </c>
      <c r="O13" s="17" t="n"/>
      <c r="P13" s="17" t="n"/>
    </row>
    <row r="14">
      <c r="A14" s="17" t="n"/>
      <c r="B14" s="18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6">
        <f>IF($J14="","",IFERROR(INDEX(Cadence!$B$4:$B$13,MATCH($J14,Cadence!$A$4:$A$13,0)),""))</f>
        <v/>
      </c>
      <c r="M14" s="19">
        <f>IF($J14="","",IFERROR(IF($K14="",$B14,$K14)+INDEX(Cadence!$C$4:$C$13,MATCH($J14,Cadence!$A$4:$A$13,0)),""))</f>
        <v/>
      </c>
      <c r="N14" s="20">
        <f>IF($M14="","",IF($M14&lt;TODAY(),"OVERDUE",IF($M14=TODAY(),"DUE TODAY",IF($M14&lt;=TODAY()+7,"THIS WEEK","LATER"))))</f>
        <v/>
      </c>
      <c r="O14" s="17" t="n"/>
      <c r="P14" s="17" t="n"/>
    </row>
    <row r="15">
      <c r="A15" s="17" t="n"/>
      <c r="B15" s="18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8" t="n"/>
      <c r="L15" s="6">
        <f>IF($J15="","",IFERROR(INDEX(Cadence!$B$4:$B$13,MATCH($J15,Cadence!$A$4:$A$13,0)),""))</f>
        <v/>
      </c>
      <c r="M15" s="19">
        <f>IF($J15="","",IFERROR(IF($K15="",$B15,$K15)+INDEX(Cadence!$C$4:$C$13,MATCH($J15,Cadence!$A$4:$A$13,0)),""))</f>
        <v/>
      </c>
      <c r="N15" s="20">
        <f>IF($M15="","",IF($M15&lt;TODAY(),"OVERDUE",IF($M15=TODAY(),"DUE TODAY",IF($M15&lt;=TODAY()+7,"THIS WEEK","LATER"))))</f>
        <v/>
      </c>
      <c r="O15" s="17" t="n"/>
      <c r="P15" s="17" t="n"/>
    </row>
    <row r="16">
      <c r="A16" s="17" t="n"/>
      <c r="B16" s="18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6">
        <f>IF($J16="","",IFERROR(INDEX(Cadence!$B$4:$B$13,MATCH($J16,Cadence!$A$4:$A$13,0)),""))</f>
        <v/>
      </c>
      <c r="M16" s="19">
        <f>IF($J16="","",IFERROR(IF($K16="",$B16,$K16)+INDEX(Cadence!$C$4:$C$13,MATCH($J16,Cadence!$A$4:$A$13,0)),""))</f>
        <v/>
      </c>
      <c r="N16" s="20">
        <f>IF($M16="","",IF($M16&lt;TODAY(),"OVERDUE",IF($M16=TODAY(),"DUE TODAY",IF($M16&lt;=TODAY()+7,"THIS WEEK","LATER"))))</f>
        <v/>
      </c>
      <c r="O16" s="17" t="n"/>
      <c r="P16" s="17" t="n"/>
    </row>
    <row r="17">
      <c r="A17" s="17" t="n"/>
      <c r="B17" s="18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8" t="n"/>
      <c r="L17" s="6">
        <f>IF($J17="","",IFERROR(INDEX(Cadence!$B$4:$B$13,MATCH($J17,Cadence!$A$4:$A$13,0)),""))</f>
        <v/>
      </c>
      <c r="M17" s="19">
        <f>IF($J17="","",IFERROR(IF($K17="",$B17,$K17)+INDEX(Cadence!$C$4:$C$13,MATCH($J17,Cadence!$A$4:$A$13,0)),""))</f>
        <v/>
      </c>
      <c r="N17" s="20">
        <f>IF($M17="","",IF($M17&lt;TODAY(),"OVERDUE",IF($M17=TODAY(),"DUE TODAY",IF($M17&lt;=TODAY()+7,"THIS WEEK","LATER"))))</f>
        <v/>
      </c>
      <c r="O17" s="17" t="n"/>
      <c r="P17" s="17" t="n"/>
    </row>
    <row r="18">
      <c r="A18" s="17" t="n"/>
      <c r="B18" s="18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6">
        <f>IF($J18="","",IFERROR(INDEX(Cadence!$B$4:$B$13,MATCH($J18,Cadence!$A$4:$A$13,0)),""))</f>
        <v/>
      </c>
      <c r="M18" s="19">
        <f>IF($J18="","",IFERROR(IF($K18="",$B18,$K18)+INDEX(Cadence!$C$4:$C$13,MATCH($J18,Cadence!$A$4:$A$13,0)),""))</f>
        <v/>
      </c>
      <c r="N18" s="20">
        <f>IF($M18="","",IF($M18&lt;TODAY(),"OVERDUE",IF($M18=TODAY(),"DUE TODAY",IF($M18&lt;=TODAY()+7,"THIS WEEK","LATER"))))</f>
        <v/>
      </c>
      <c r="O18" s="17" t="n"/>
      <c r="P18" s="17" t="n"/>
    </row>
    <row r="19">
      <c r="A19" s="17" t="n"/>
      <c r="B19" s="18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8" t="n"/>
      <c r="L19" s="6">
        <f>IF($J19="","",IFERROR(INDEX(Cadence!$B$4:$B$13,MATCH($J19,Cadence!$A$4:$A$13,0)),""))</f>
        <v/>
      </c>
      <c r="M19" s="19">
        <f>IF($J19="","",IFERROR(IF($K19="",$B19,$K19)+INDEX(Cadence!$C$4:$C$13,MATCH($J19,Cadence!$A$4:$A$13,0)),""))</f>
        <v/>
      </c>
      <c r="N19" s="20">
        <f>IF($M19="","",IF($M19&lt;TODAY(),"OVERDUE",IF($M19=TODAY(),"DUE TODAY",IF($M19&lt;=TODAY()+7,"THIS WEEK","LATER"))))</f>
        <v/>
      </c>
      <c r="O19" s="17" t="n"/>
      <c r="P19" s="17" t="n"/>
    </row>
    <row r="20">
      <c r="A20" s="17" t="n"/>
      <c r="B20" s="18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6">
        <f>IF($J20="","",IFERROR(INDEX(Cadence!$B$4:$B$13,MATCH($J20,Cadence!$A$4:$A$13,0)),""))</f>
        <v/>
      </c>
      <c r="M20" s="19">
        <f>IF($J20="","",IFERROR(IF($K20="",$B20,$K20)+INDEX(Cadence!$C$4:$C$13,MATCH($J20,Cadence!$A$4:$A$13,0)),""))</f>
        <v/>
      </c>
      <c r="N20" s="20">
        <f>IF($M20="","",IF($M20&lt;TODAY(),"OVERDUE",IF($M20=TODAY(),"DUE TODAY",IF($M20&lt;=TODAY()+7,"THIS WEEK","LATER"))))</f>
        <v/>
      </c>
      <c r="O20" s="17" t="n"/>
      <c r="P20" s="17" t="n"/>
    </row>
    <row r="21">
      <c r="A21" s="17" t="n"/>
      <c r="B21" s="18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8" t="n"/>
      <c r="L21" s="6">
        <f>IF($J21="","",IFERROR(INDEX(Cadence!$B$4:$B$13,MATCH($J21,Cadence!$A$4:$A$13,0)),""))</f>
        <v/>
      </c>
      <c r="M21" s="19">
        <f>IF($J21="","",IFERROR(IF($K21="",$B21,$K21)+INDEX(Cadence!$C$4:$C$13,MATCH($J21,Cadence!$A$4:$A$13,0)),""))</f>
        <v/>
      </c>
      <c r="N21" s="20">
        <f>IF($M21="","",IF($M21&lt;TODAY(),"OVERDUE",IF($M21=TODAY(),"DUE TODAY",IF($M21&lt;=TODAY()+7,"THIS WEEK","LATER"))))</f>
        <v/>
      </c>
      <c r="O21" s="17" t="n"/>
      <c r="P21" s="17" t="n"/>
    </row>
    <row r="22">
      <c r="A22" s="17" t="n"/>
      <c r="B22" s="18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6">
        <f>IF($J22="","",IFERROR(INDEX(Cadence!$B$4:$B$13,MATCH($J22,Cadence!$A$4:$A$13,0)),""))</f>
        <v/>
      </c>
      <c r="M22" s="19">
        <f>IF($J22="","",IFERROR(IF($K22="",$B22,$K22)+INDEX(Cadence!$C$4:$C$13,MATCH($J22,Cadence!$A$4:$A$13,0)),""))</f>
        <v/>
      </c>
      <c r="N22" s="20">
        <f>IF($M22="","",IF($M22&lt;TODAY(),"OVERDUE",IF($M22=TODAY(),"DUE TODAY",IF($M22&lt;=TODAY()+7,"THIS WEEK","LATER"))))</f>
        <v/>
      </c>
      <c r="O22" s="17" t="n"/>
      <c r="P22" s="17" t="n"/>
    </row>
    <row r="23">
      <c r="A23" s="17" t="n"/>
      <c r="B23" s="18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8" t="n"/>
      <c r="L23" s="6">
        <f>IF($J23="","",IFERROR(INDEX(Cadence!$B$4:$B$13,MATCH($J23,Cadence!$A$4:$A$13,0)),""))</f>
        <v/>
      </c>
      <c r="M23" s="19">
        <f>IF($J23="","",IFERROR(IF($K23="",$B23,$K23)+INDEX(Cadence!$C$4:$C$13,MATCH($J23,Cadence!$A$4:$A$13,0)),""))</f>
        <v/>
      </c>
      <c r="N23" s="20">
        <f>IF($M23="","",IF($M23&lt;TODAY(),"OVERDUE",IF($M23=TODAY(),"DUE TODAY",IF($M23&lt;=TODAY()+7,"THIS WEEK","LATER"))))</f>
        <v/>
      </c>
      <c r="O23" s="17" t="n"/>
      <c r="P23" s="17" t="n"/>
    </row>
    <row r="24">
      <c r="A24" s="17" t="n"/>
      <c r="B24" s="18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6">
        <f>IF($J24="","",IFERROR(INDEX(Cadence!$B$4:$B$13,MATCH($J24,Cadence!$A$4:$A$13,0)),""))</f>
        <v/>
      </c>
      <c r="M24" s="19">
        <f>IF($J24="","",IFERROR(IF($K24="",$B24,$K24)+INDEX(Cadence!$C$4:$C$13,MATCH($J24,Cadence!$A$4:$A$13,0)),""))</f>
        <v/>
      </c>
      <c r="N24" s="20">
        <f>IF($M24="","",IF($M24&lt;TODAY(),"OVERDUE",IF($M24=TODAY(),"DUE TODAY",IF($M24&lt;=TODAY()+7,"THIS WEEK","LATER"))))</f>
        <v/>
      </c>
      <c r="O24" s="17" t="n"/>
      <c r="P24" s="17" t="n"/>
    </row>
    <row r="25">
      <c r="A25" s="17" t="n"/>
      <c r="B25" s="18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8" t="n"/>
      <c r="L25" s="6">
        <f>IF($J25="","",IFERROR(INDEX(Cadence!$B$4:$B$13,MATCH($J25,Cadence!$A$4:$A$13,0)),""))</f>
        <v/>
      </c>
      <c r="M25" s="19">
        <f>IF($J25="","",IFERROR(IF($K25="",$B25,$K25)+INDEX(Cadence!$C$4:$C$13,MATCH($J25,Cadence!$A$4:$A$13,0)),""))</f>
        <v/>
      </c>
      <c r="N25" s="20">
        <f>IF($M25="","",IF($M25&lt;TODAY(),"OVERDUE",IF($M25=TODAY(),"DUE TODAY",IF($M25&lt;=TODAY()+7,"THIS WEEK","LATER"))))</f>
        <v/>
      </c>
      <c r="O25" s="17" t="n"/>
      <c r="P25" s="17" t="n"/>
    </row>
    <row r="26">
      <c r="A26" s="17" t="n"/>
      <c r="B26" s="18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6">
        <f>IF($J26="","",IFERROR(INDEX(Cadence!$B$4:$B$13,MATCH($J26,Cadence!$A$4:$A$13,0)),""))</f>
        <v/>
      </c>
      <c r="M26" s="19">
        <f>IF($J26="","",IFERROR(IF($K26="",$B26,$K26)+INDEX(Cadence!$C$4:$C$13,MATCH($J26,Cadence!$A$4:$A$13,0)),""))</f>
        <v/>
      </c>
      <c r="N26" s="20">
        <f>IF($M26="","",IF($M26&lt;TODAY(),"OVERDUE",IF($M26=TODAY(),"DUE TODAY",IF($M26&lt;=TODAY()+7,"THIS WEEK","LATER"))))</f>
        <v/>
      </c>
      <c r="O26" s="17" t="n"/>
      <c r="P26" s="17" t="n"/>
    </row>
    <row r="27">
      <c r="A27" s="17" t="n"/>
      <c r="B27" s="18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8" t="n"/>
      <c r="L27" s="6">
        <f>IF($J27="","",IFERROR(INDEX(Cadence!$B$4:$B$13,MATCH($J27,Cadence!$A$4:$A$13,0)),""))</f>
        <v/>
      </c>
      <c r="M27" s="19">
        <f>IF($J27="","",IFERROR(IF($K27="",$B27,$K27)+INDEX(Cadence!$C$4:$C$13,MATCH($J27,Cadence!$A$4:$A$13,0)),""))</f>
        <v/>
      </c>
      <c r="N27" s="20">
        <f>IF($M27="","",IF($M27&lt;TODAY(),"OVERDUE",IF($M27=TODAY(),"DUE TODAY",IF($M27&lt;=TODAY()+7,"THIS WEEK","LATER"))))</f>
        <v/>
      </c>
      <c r="O27" s="17" t="n"/>
      <c r="P27" s="17" t="n"/>
    </row>
    <row r="28">
      <c r="A28" s="17" t="n"/>
      <c r="B28" s="18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6">
        <f>IF($J28="","",IFERROR(INDEX(Cadence!$B$4:$B$13,MATCH($J28,Cadence!$A$4:$A$13,0)),""))</f>
        <v/>
      </c>
      <c r="M28" s="19">
        <f>IF($J28="","",IFERROR(IF($K28="",$B28,$K28)+INDEX(Cadence!$C$4:$C$13,MATCH($J28,Cadence!$A$4:$A$13,0)),""))</f>
        <v/>
      </c>
      <c r="N28" s="20">
        <f>IF($M28="","",IF($M28&lt;TODAY(),"OVERDUE",IF($M28=TODAY(),"DUE TODAY",IF($M28&lt;=TODAY()+7,"THIS WEEK","LATER"))))</f>
        <v/>
      </c>
      <c r="O28" s="17" t="n"/>
      <c r="P28" s="17" t="n"/>
    </row>
    <row r="29">
      <c r="A29" s="17" t="n"/>
      <c r="B29" s="18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8" t="n"/>
      <c r="L29" s="6">
        <f>IF($J29="","",IFERROR(INDEX(Cadence!$B$4:$B$13,MATCH($J29,Cadence!$A$4:$A$13,0)),""))</f>
        <v/>
      </c>
      <c r="M29" s="19">
        <f>IF($J29="","",IFERROR(IF($K29="",$B29,$K29)+INDEX(Cadence!$C$4:$C$13,MATCH($J29,Cadence!$A$4:$A$13,0)),""))</f>
        <v/>
      </c>
      <c r="N29" s="20">
        <f>IF($M29="","",IF($M29&lt;TODAY(),"OVERDUE",IF($M29=TODAY(),"DUE TODAY",IF($M29&lt;=TODAY()+7,"THIS WEEK","LATER"))))</f>
        <v/>
      </c>
      <c r="O29" s="17" t="n"/>
      <c r="P29" s="17" t="n"/>
    </row>
    <row r="30">
      <c r="A30" s="17" t="n"/>
      <c r="B30" s="18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6">
        <f>IF($J30="","",IFERROR(INDEX(Cadence!$B$4:$B$13,MATCH($J30,Cadence!$A$4:$A$13,0)),""))</f>
        <v/>
      </c>
      <c r="M30" s="19">
        <f>IF($J30="","",IFERROR(IF($K30="",$B30,$K30)+INDEX(Cadence!$C$4:$C$13,MATCH($J30,Cadence!$A$4:$A$13,0)),""))</f>
        <v/>
      </c>
      <c r="N30" s="20">
        <f>IF($M30="","",IF($M30&lt;TODAY(),"OVERDUE",IF($M30=TODAY(),"DUE TODAY",IF($M30&lt;=TODAY()+7,"THIS WEEK","LATER"))))</f>
        <v/>
      </c>
      <c r="O30" s="17" t="n"/>
      <c r="P30" s="17" t="n"/>
    </row>
    <row r="31">
      <c r="A31" s="17" t="n"/>
      <c r="B31" s="18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8" t="n"/>
      <c r="L31" s="6">
        <f>IF($J31="","",IFERROR(INDEX(Cadence!$B$4:$B$13,MATCH($J31,Cadence!$A$4:$A$13,0)),""))</f>
        <v/>
      </c>
      <c r="M31" s="19">
        <f>IF($J31="","",IFERROR(IF($K31="",$B31,$K31)+INDEX(Cadence!$C$4:$C$13,MATCH($J31,Cadence!$A$4:$A$13,0)),""))</f>
        <v/>
      </c>
      <c r="N31" s="20">
        <f>IF($M31="","",IF($M31&lt;TODAY(),"OVERDUE",IF($M31=TODAY(),"DUE TODAY",IF($M31&lt;=TODAY()+7,"THIS WEEK","LATER"))))</f>
        <v/>
      </c>
      <c r="O31" s="17" t="n"/>
      <c r="P31" s="17" t="n"/>
    </row>
    <row r="32">
      <c r="A32" s="17" t="n"/>
      <c r="B32" s="18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6">
        <f>IF($J32="","",IFERROR(INDEX(Cadence!$B$4:$B$13,MATCH($J32,Cadence!$A$4:$A$13,0)),""))</f>
        <v/>
      </c>
      <c r="M32" s="19">
        <f>IF($J32="","",IFERROR(IF($K32="",$B32,$K32)+INDEX(Cadence!$C$4:$C$13,MATCH($J32,Cadence!$A$4:$A$13,0)),""))</f>
        <v/>
      </c>
      <c r="N32" s="20">
        <f>IF($M32="","",IF($M32&lt;TODAY(),"OVERDUE",IF($M32=TODAY(),"DUE TODAY",IF($M32&lt;=TODAY()+7,"THIS WEEK","LATER"))))</f>
        <v/>
      </c>
      <c r="O32" s="17" t="n"/>
      <c r="P32" s="17" t="n"/>
    </row>
    <row r="33">
      <c r="A33" s="17" t="n"/>
      <c r="B33" s="18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8" t="n"/>
      <c r="L33" s="6">
        <f>IF($J33="","",IFERROR(INDEX(Cadence!$B$4:$B$13,MATCH($J33,Cadence!$A$4:$A$13,0)),""))</f>
        <v/>
      </c>
      <c r="M33" s="19">
        <f>IF($J33="","",IFERROR(IF($K33="",$B33,$K33)+INDEX(Cadence!$C$4:$C$13,MATCH($J33,Cadence!$A$4:$A$13,0)),""))</f>
        <v/>
      </c>
      <c r="N33" s="20">
        <f>IF($M33="","",IF($M33&lt;TODAY(),"OVERDUE",IF($M33=TODAY(),"DUE TODAY",IF($M33&lt;=TODAY()+7,"THIS WEEK","LATER"))))</f>
        <v/>
      </c>
      <c r="O33" s="17" t="n"/>
      <c r="P33" s="17" t="n"/>
    </row>
    <row r="34">
      <c r="A34" s="17" t="n"/>
      <c r="B34" s="18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6">
        <f>IF($J34="","",IFERROR(INDEX(Cadence!$B$4:$B$13,MATCH($J34,Cadence!$A$4:$A$13,0)),""))</f>
        <v/>
      </c>
      <c r="M34" s="19">
        <f>IF($J34="","",IFERROR(IF($K34="",$B34,$K34)+INDEX(Cadence!$C$4:$C$13,MATCH($J34,Cadence!$A$4:$A$13,0)),""))</f>
        <v/>
      </c>
      <c r="N34" s="20">
        <f>IF($M34="","",IF($M34&lt;TODAY(),"OVERDUE",IF($M34=TODAY(),"DUE TODAY",IF($M34&lt;=TODAY()+7,"THIS WEEK","LATER"))))</f>
        <v/>
      </c>
      <c r="O34" s="17" t="n"/>
      <c r="P34" s="17" t="n"/>
    </row>
    <row r="35">
      <c r="A35" s="17" t="n"/>
      <c r="B35" s="18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8" t="n"/>
      <c r="L35" s="6">
        <f>IF($J35="","",IFERROR(INDEX(Cadence!$B$4:$B$13,MATCH($J35,Cadence!$A$4:$A$13,0)),""))</f>
        <v/>
      </c>
      <c r="M35" s="19">
        <f>IF($J35="","",IFERROR(IF($K35="",$B35,$K35)+INDEX(Cadence!$C$4:$C$13,MATCH($J35,Cadence!$A$4:$A$13,0)),""))</f>
        <v/>
      </c>
      <c r="N35" s="20">
        <f>IF($M35="","",IF($M35&lt;TODAY(),"OVERDUE",IF($M35=TODAY(),"DUE TODAY",IF($M35&lt;=TODAY()+7,"THIS WEEK","LATER"))))</f>
        <v/>
      </c>
      <c r="O35" s="17" t="n"/>
      <c r="P35" s="17" t="n"/>
    </row>
    <row r="36">
      <c r="A36" s="17" t="n"/>
      <c r="B36" s="18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6">
        <f>IF($J36="","",IFERROR(INDEX(Cadence!$B$4:$B$13,MATCH($J36,Cadence!$A$4:$A$13,0)),""))</f>
        <v/>
      </c>
      <c r="M36" s="19">
        <f>IF($J36="","",IFERROR(IF($K36="",$B36,$K36)+INDEX(Cadence!$C$4:$C$13,MATCH($J36,Cadence!$A$4:$A$13,0)),""))</f>
        <v/>
      </c>
      <c r="N36" s="20">
        <f>IF($M36="","",IF($M36&lt;TODAY(),"OVERDUE",IF($M36=TODAY(),"DUE TODAY",IF($M36&lt;=TODAY()+7,"THIS WEEK","LATER"))))</f>
        <v/>
      </c>
      <c r="O36" s="17" t="n"/>
      <c r="P36" s="17" t="n"/>
    </row>
    <row r="37">
      <c r="A37" s="17" t="n"/>
      <c r="B37" s="18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8" t="n"/>
      <c r="L37" s="6">
        <f>IF($J37="","",IFERROR(INDEX(Cadence!$B$4:$B$13,MATCH($J37,Cadence!$A$4:$A$13,0)),""))</f>
        <v/>
      </c>
      <c r="M37" s="19">
        <f>IF($J37="","",IFERROR(IF($K37="",$B37,$K37)+INDEX(Cadence!$C$4:$C$13,MATCH($J37,Cadence!$A$4:$A$13,0)),""))</f>
        <v/>
      </c>
      <c r="N37" s="20">
        <f>IF($M37="","",IF($M37&lt;TODAY(),"OVERDUE",IF($M37=TODAY(),"DUE TODAY",IF($M37&lt;=TODAY()+7,"THIS WEEK","LATER"))))</f>
        <v/>
      </c>
      <c r="O37" s="17" t="n"/>
      <c r="P37" s="17" t="n"/>
    </row>
    <row r="38">
      <c r="A38" s="17" t="n"/>
      <c r="B38" s="18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6">
        <f>IF($J38="","",IFERROR(INDEX(Cadence!$B$4:$B$13,MATCH($J38,Cadence!$A$4:$A$13,0)),""))</f>
        <v/>
      </c>
      <c r="M38" s="19">
        <f>IF($J38="","",IFERROR(IF($K38="",$B38,$K38)+INDEX(Cadence!$C$4:$C$13,MATCH($J38,Cadence!$A$4:$A$13,0)),""))</f>
        <v/>
      </c>
      <c r="N38" s="20">
        <f>IF($M38="","",IF($M38&lt;TODAY(),"OVERDUE",IF($M38=TODAY(),"DUE TODAY",IF($M38&lt;=TODAY()+7,"THIS WEEK","LATER"))))</f>
        <v/>
      </c>
      <c r="O38" s="17" t="n"/>
      <c r="P38" s="17" t="n"/>
    </row>
    <row r="39">
      <c r="A39" s="17" t="n"/>
      <c r="B39" s="18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8" t="n"/>
      <c r="L39" s="6">
        <f>IF($J39="","",IFERROR(INDEX(Cadence!$B$4:$B$13,MATCH($J39,Cadence!$A$4:$A$13,0)),""))</f>
        <v/>
      </c>
      <c r="M39" s="19">
        <f>IF($J39="","",IFERROR(IF($K39="",$B39,$K39)+INDEX(Cadence!$C$4:$C$13,MATCH($J39,Cadence!$A$4:$A$13,0)),""))</f>
        <v/>
      </c>
      <c r="N39" s="20">
        <f>IF($M39="","",IF($M39&lt;TODAY(),"OVERDUE",IF($M39=TODAY(),"DUE TODAY",IF($M39&lt;=TODAY()+7,"THIS WEEK","LATER"))))</f>
        <v/>
      </c>
      <c r="O39" s="17" t="n"/>
      <c r="P39" s="17" t="n"/>
    </row>
    <row r="40">
      <c r="A40" s="17" t="n"/>
      <c r="B40" s="18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6">
        <f>IF($J40="","",IFERROR(INDEX(Cadence!$B$4:$B$13,MATCH($J40,Cadence!$A$4:$A$13,0)),""))</f>
        <v/>
      </c>
      <c r="M40" s="19">
        <f>IF($J40="","",IFERROR(IF($K40="",$B40,$K40)+INDEX(Cadence!$C$4:$C$13,MATCH($J40,Cadence!$A$4:$A$13,0)),""))</f>
        <v/>
      </c>
      <c r="N40" s="20">
        <f>IF($M40="","",IF($M40&lt;TODAY(),"OVERDUE",IF($M40=TODAY(),"DUE TODAY",IF($M40&lt;=TODAY()+7,"THIS WEEK","LATER"))))</f>
        <v/>
      </c>
      <c r="O40" s="17" t="n"/>
      <c r="P40" s="17" t="n"/>
    </row>
    <row r="41">
      <c r="A41" s="17" t="n"/>
      <c r="B41" s="18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8" t="n"/>
      <c r="L41" s="6">
        <f>IF($J41="","",IFERROR(INDEX(Cadence!$B$4:$B$13,MATCH($J41,Cadence!$A$4:$A$13,0)),""))</f>
        <v/>
      </c>
      <c r="M41" s="19">
        <f>IF($J41="","",IFERROR(IF($K41="",$B41,$K41)+INDEX(Cadence!$C$4:$C$13,MATCH($J41,Cadence!$A$4:$A$13,0)),""))</f>
        <v/>
      </c>
      <c r="N41" s="20">
        <f>IF($M41="","",IF($M41&lt;TODAY(),"OVERDUE",IF($M41=TODAY(),"DUE TODAY",IF($M41&lt;=TODAY()+7,"THIS WEEK","LATER"))))</f>
        <v/>
      </c>
      <c r="O41" s="17" t="n"/>
      <c r="P41" s="17" t="n"/>
    </row>
    <row r="42">
      <c r="A42" s="17" t="n"/>
      <c r="B42" s="18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6">
        <f>IF($J42="","",IFERROR(INDEX(Cadence!$B$4:$B$13,MATCH($J42,Cadence!$A$4:$A$13,0)),""))</f>
        <v/>
      </c>
      <c r="M42" s="19">
        <f>IF($J42="","",IFERROR(IF($K42="",$B42,$K42)+INDEX(Cadence!$C$4:$C$13,MATCH($J42,Cadence!$A$4:$A$13,0)),""))</f>
        <v/>
      </c>
      <c r="N42" s="20">
        <f>IF($M42="","",IF($M42&lt;TODAY(),"OVERDUE",IF($M42=TODAY(),"DUE TODAY",IF($M42&lt;=TODAY()+7,"THIS WEEK","LATER"))))</f>
        <v/>
      </c>
      <c r="O42" s="17" t="n"/>
      <c r="P42" s="17" t="n"/>
    </row>
    <row r="43">
      <c r="A43" s="17" t="n"/>
      <c r="B43" s="18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8" t="n"/>
      <c r="L43" s="6">
        <f>IF($J43="","",IFERROR(INDEX(Cadence!$B$4:$B$13,MATCH($J43,Cadence!$A$4:$A$13,0)),""))</f>
        <v/>
      </c>
      <c r="M43" s="19">
        <f>IF($J43="","",IFERROR(IF($K43="",$B43,$K43)+INDEX(Cadence!$C$4:$C$13,MATCH($J43,Cadence!$A$4:$A$13,0)),""))</f>
        <v/>
      </c>
      <c r="N43" s="20">
        <f>IF($M43="","",IF($M43&lt;TODAY(),"OVERDUE",IF($M43=TODAY(),"DUE TODAY",IF($M43&lt;=TODAY()+7,"THIS WEEK","LATER"))))</f>
        <v/>
      </c>
      <c r="O43" s="17" t="n"/>
      <c r="P43" s="17" t="n"/>
    </row>
    <row r="44">
      <c r="A44" s="17" t="n"/>
      <c r="B44" s="18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6">
        <f>IF($J44="","",IFERROR(INDEX(Cadence!$B$4:$B$13,MATCH($J44,Cadence!$A$4:$A$13,0)),""))</f>
        <v/>
      </c>
      <c r="M44" s="19">
        <f>IF($J44="","",IFERROR(IF($K44="",$B44,$K44)+INDEX(Cadence!$C$4:$C$13,MATCH($J44,Cadence!$A$4:$A$13,0)),""))</f>
        <v/>
      </c>
      <c r="N44" s="20">
        <f>IF($M44="","",IF($M44&lt;TODAY(),"OVERDUE",IF($M44=TODAY(),"DUE TODAY",IF($M44&lt;=TODAY()+7,"THIS WEEK","LATER"))))</f>
        <v/>
      </c>
      <c r="O44" s="17" t="n"/>
      <c r="P44" s="17" t="n"/>
    </row>
    <row r="45">
      <c r="A45" s="17" t="n"/>
      <c r="B45" s="18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8" t="n"/>
      <c r="L45" s="6">
        <f>IF($J45="","",IFERROR(INDEX(Cadence!$B$4:$B$13,MATCH($J45,Cadence!$A$4:$A$13,0)),""))</f>
        <v/>
      </c>
      <c r="M45" s="19">
        <f>IF($J45="","",IFERROR(IF($K45="",$B45,$K45)+INDEX(Cadence!$C$4:$C$13,MATCH($J45,Cadence!$A$4:$A$13,0)),""))</f>
        <v/>
      </c>
      <c r="N45" s="20">
        <f>IF($M45="","",IF($M45&lt;TODAY(),"OVERDUE",IF($M45=TODAY(),"DUE TODAY",IF($M45&lt;=TODAY()+7,"THIS WEEK","LATER"))))</f>
        <v/>
      </c>
      <c r="O45" s="17" t="n"/>
      <c r="P45" s="17" t="n"/>
    </row>
    <row r="46">
      <c r="A46" s="17" t="n"/>
      <c r="B46" s="18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6">
        <f>IF($J46="","",IFERROR(INDEX(Cadence!$B$4:$B$13,MATCH($J46,Cadence!$A$4:$A$13,0)),""))</f>
        <v/>
      </c>
      <c r="M46" s="19">
        <f>IF($J46="","",IFERROR(IF($K46="",$B46,$K46)+INDEX(Cadence!$C$4:$C$13,MATCH($J46,Cadence!$A$4:$A$13,0)),""))</f>
        <v/>
      </c>
      <c r="N46" s="20">
        <f>IF($M46="","",IF($M46&lt;TODAY(),"OVERDUE",IF($M46=TODAY(),"DUE TODAY",IF($M46&lt;=TODAY()+7,"THIS WEEK","LATER"))))</f>
        <v/>
      </c>
      <c r="O46" s="17" t="n"/>
      <c r="P46" s="17" t="n"/>
    </row>
    <row r="47">
      <c r="A47" s="17" t="n"/>
      <c r="B47" s="18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8" t="n"/>
      <c r="L47" s="6">
        <f>IF($J47="","",IFERROR(INDEX(Cadence!$B$4:$B$13,MATCH($J47,Cadence!$A$4:$A$13,0)),""))</f>
        <v/>
      </c>
      <c r="M47" s="19">
        <f>IF($J47="","",IFERROR(IF($K47="",$B47,$K47)+INDEX(Cadence!$C$4:$C$13,MATCH($J47,Cadence!$A$4:$A$13,0)),""))</f>
        <v/>
      </c>
      <c r="N47" s="20">
        <f>IF($M47="","",IF($M47&lt;TODAY(),"OVERDUE",IF($M47=TODAY(),"DUE TODAY",IF($M47&lt;=TODAY()+7,"THIS WEEK","LATER"))))</f>
        <v/>
      </c>
      <c r="O47" s="17" t="n"/>
      <c r="P47" s="17" t="n"/>
    </row>
    <row r="48">
      <c r="A48" s="17" t="n"/>
      <c r="B48" s="18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6">
        <f>IF($J48="","",IFERROR(INDEX(Cadence!$B$4:$B$13,MATCH($J48,Cadence!$A$4:$A$13,0)),""))</f>
        <v/>
      </c>
      <c r="M48" s="19">
        <f>IF($J48="","",IFERROR(IF($K48="",$B48,$K48)+INDEX(Cadence!$C$4:$C$13,MATCH($J48,Cadence!$A$4:$A$13,0)),""))</f>
        <v/>
      </c>
      <c r="N48" s="20">
        <f>IF($M48="","",IF($M48&lt;TODAY(),"OVERDUE",IF($M48=TODAY(),"DUE TODAY",IF($M48&lt;=TODAY()+7,"THIS WEEK","LATER"))))</f>
        <v/>
      </c>
      <c r="O48" s="17" t="n"/>
      <c r="P48" s="17" t="n"/>
    </row>
    <row r="49">
      <c r="A49" s="17" t="n"/>
      <c r="B49" s="18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8" t="n"/>
      <c r="L49" s="6">
        <f>IF($J49="","",IFERROR(INDEX(Cadence!$B$4:$B$13,MATCH($J49,Cadence!$A$4:$A$13,0)),""))</f>
        <v/>
      </c>
      <c r="M49" s="19">
        <f>IF($J49="","",IFERROR(IF($K49="",$B49,$K49)+INDEX(Cadence!$C$4:$C$13,MATCH($J49,Cadence!$A$4:$A$13,0)),""))</f>
        <v/>
      </c>
      <c r="N49" s="20">
        <f>IF($M49="","",IF($M49&lt;TODAY(),"OVERDUE",IF($M49=TODAY(),"DUE TODAY",IF($M49&lt;=TODAY()+7,"THIS WEEK","LATER"))))</f>
        <v/>
      </c>
      <c r="O49" s="17" t="n"/>
      <c r="P49" s="17" t="n"/>
    </row>
    <row r="50">
      <c r="A50" s="17" t="n"/>
      <c r="B50" s="18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6">
        <f>IF($J50="","",IFERROR(INDEX(Cadence!$B$4:$B$13,MATCH($J50,Cadence!$A$4:$A$13,0)),""))</f>
        <v/>
      </c>
      <c r="M50" s="19">
        <f>IF($J50="","",IFERROR(IF($K50="",$B50,$K50)+INDEX(Cadence!$C$4:$C$13,MATCH($J50,Cadence!$A$4:$A$13,0)),""))</f>
        <v/>
      </c>
      <c r="N50" s="20">
        <f>IF($M50="","",IF($M50&lt;TODAY(),"OVERDUE",IF($M50=TODAY(),"DUE TODAY",IF($M50&lt;=TODAY()+7,"THIS WEEK","LATER"))))</f>
        <v/>
      </c>
      <c r="O50" s="17" t="n"/>
      <c r="P50" s="17" t="n"/>
    </row>
    <row r="51">
      <c r="A51" s="17" t="n"/>
      <c r="B51" s="18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8" t="n"/>
      <c r="L51" s="6">
        <f>IF($J51="","",IFERROR(INDEX(Cadence!$B$4:$B$13,MATCH($J51,Cadence!$A$4:$A$13,0)),""))</f>
        <v/>
      </c>
      <c r="M51" s="19">
        <f>IF($J51="","",IFERROR(IF($K51="",$B51,$K51)+INDEX(Cadence!$C$4:$C$13,MATCH($J51,Cadence!$A$4:$A$13,0)),""))</f>
        <v/>
      </c>
      <c r="N51" s="20">
        <f>IF($M51="","",IF($M51&lt;TODAY(),"OVERDUE",IF($M51=TODAY(),"DUE TODAY",IF($M51&lt;=TODAY()+7,"THIS WEEK","LATER"))))</f>
        <v/>
      </c>
      <c r="O51" s="17" t="n"/>
      <c r="P51" s="17" t="n"/>
    </row>
    <row r="52">
      <c r="A52" s="17" t="n"/>
      <c r="B52" s="1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6">
        <f>IF($J52="","",IFERROR(INDEX(Cadence!$B$4:$B$13,MATCH($J52,Cadence!$A$4:$A$13,0)),""))</f>
        <v/>
      </c>
      <c r="M52" s="19">
        <f>IF($J52="","",IFERROR(IF($K52="",$B52,$K52)+INDEX(Cadence!$C$4:$C$13,MATCH($J52,Cadence!$A$4:$A$13,0)),""))</f>
        <v/>
      </c>
      <c r="N52" s="20">
        <f>IF($M52="","",IF($M52&lt;TODAY(),"OVERDUE",IF($M52=TODAY(),"DUE TODAY",IF($M52&lt;=TODAY()+7,"THIS WEEK","LATER"))))</f>
        <v/>
      </c>
      <c r="O52" s="17" t="n"/>
      <c r="P52" s="17" t="n"/>
    </row>
    <row r="53">
      <c r="A53" s="17" t="n"/>
      <c r="B53" s="18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8" t="n"/>
      <c r="L53" s="6">
        <f>IF($J53="","",IFERROR(INDEX(Cadence!$B$4:$B$13,MATCH($J53,Cadence!$A$4:$A$13,0)),""))</f>
        <v/>
      </c>
      <c r="M53" s="19">
        <f>IF($J53="","",IFERROR(IF($K53="",$B53,$K53)+INDEX(Cadence!$C$4:$C$13,MATCH($J53,Cadence!$A$4:$A$13,0)),""))</f>
        <v/>
      </c>
      <c r="N53" s="20">
        <f>IF($M53="","",IF($M53&lt;TODAY(),"OVERDUE",IF($M53=TODAY(),"DUE TODAY",IF($M53&lt;=TODAY()+7,"THIS WEEK","LATER"))))</f>
        <v/>
      </c>
      <c r="O53" s="17" t="n"/>
      <c r="P53" s="17" t="n"/>
    </row>
    <row r="54">
      <c r="A54" s="17" t="n"/>
      <c r="B54" s="18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6">
        <f>IF($J54="","",IFERROR(INDEX(Cadence!$B$4:$B$13,MATCH($J54,Cadence!$A$4:$A$13,0)),""))</f>
        <v/>
      </c>
      <c r="M54" s="19">
        <f>IF($J54="","",IFERROR(IF($K54="",$B54,$K54)+INDEX(Cadence!$C$4:$C$13,MATCH($J54,Cadence!$A$4:$A$13,0)),""))</f>
        <v/>
      </c>
      <c r="N54" s="20">
        <f>IF($M54="","",IF($M54&lt;TODAY(),"OVERDUE",IF($M54=TODAY(),"DUE TODAY",IF($M54&lt;=TODAY()+7,"THIS WEEK","LATER"))))</f>
        <v/>
      </c>
      <c r="O54" s="17" t="n"/>
      <c r="P54" s="17" t="n"/>
    </row>
    <row r="55">
      <c r="A55" s="17" t="n"/>
      <c r="B55" s="18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8" t="n"/>
      <c r="L55" s="6">
        <f>IF($J55="","",IFERROR(INDEX(Cadence!$B$4:$B$13,MATCH($J55,Cadence!$A$4:$A$13,0)),""))</f>
        <v/>
      </c>
      <c r="M55" s="19">
        <f>IF($J55="","",IFERROR(IF($K55="",$B55,$K55)+INDEX(Cadence!$C$4:$C$13,MATCH($J55,Cadence!$A$4:$A$13,0)),""))</f>
        <v/>
      </c>
      <c r="N55" s="20">
        <f>IF($M55="","",IF($M55&lt;TODAY(),"OVERDUE",IF($M55=TODAY(),"DUE TODAY",IF($M55&lt;=TODAY()+7,"THIS WEEK","LATER"))))</f>
        <v/>
      </c>
      <c r="O55" s="17" t="n"/>
      <c r="P55" s="17" t="n"/>
    </row>
    <row r="56">
      <c r="A56" s="17" t="n"/>
      <c r="B56" s="1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6">
        <f>IF($J56="","",IFERROR(INDEX(Cadence!$B$4:$B$13,MATCH($J56,Cadence!$A$4:$A$13,0)),""))</f>
        <v/>
      </c>
      <c r="M56" s="19">
        <f>IF($J56="","",IFERROR(IF($K56="",$B56,$K56)+INDEX(Cadence!$C$4:$C$13,MATCH($J56,Cadence!$A$4:$A$13,0)),""))</f>
        <v/>
      </c>
      <c r="N56" s="20">
        <f>IF($M56="","",IF($M56&lt;TODAY(),"OVERDUE",IF($M56=TODAY(),"DUE TODAY",IF($M56&lt;=TODAY()+7,"THIS WEEK","LATER"))))</f>
        <v/>
      </c>
      <c r="O56" s="17" t="n"/>
      <c r="P56" s="17" t="n"/>
    </row>
    <row r="57">
      <c r="A57" s="17" t="n"/>
      <c r="B57" s="18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8" t="n"/>
      <c r="L57" s="6">
        <f>IF($J57="","",IFERROR(INDEX(Cadence!$B$4:$B$13,MATCH($J57,Cadence!$A$4:$A$13,0)),""))</f>
        <v/>
      </c>
      <c r="M57" s="19">
        <f>IF($J57="","",IFERROR(IF($K57="",$B57,$K57)+INDEX(Cadence!$C$4:$C$13,MATCH($J57,Cadence!$A$4:$A$13,0)),""))</f>
        <v/>
      </c>
      <c r="N57" s="20">
        <f>IF($M57="","",IF($M57&lt;TODAY(),"OVERDUE",IF($M57=TODAY(),"DUE TODAY",IF($M57&lt;=TODAY()+7,"THIS WEEK","LATER"))))</f>
        <v/>
      </c>
      <c r="O57" s="17" t="n"/>
      <c r="P57" s="17" t="n"/>
    </row>
    <row r="58">
      <c r="A58" s="17" t="n"/>
      <c r="B58" s="18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6">
        <f>IF($J58="","",IFERROR(INDEX(Cadence!$B$4:$B$13,MATCH($J58,Cadence!$A$4:$A$13,0)),""))</f>
        <v/>
      </c>
      <c r="M58" s="19">
        <f>IF($J58="","",IFERROR(IF($K58="",$B58,$K58)+INDEX(Cadence!$C$4:$C$13,MATCH($J58,Cadence!$A$4:$A$13,0)),""))</f>
        <v/>
      </c>
      <c r="N58" s="20">
        <f>IF($M58="","",IF($M58&lt;TODAY(),"OVERDUE",IF($M58=TODAY(),"DUE TODAY",IF($M58&lt;=TODAY()+7,"THIS WEEK","LATER"))))</f>
        <v/>
      </c>
      <c r="O58" s="17" t="n"/>
      <c r="P58" s="17" t="n"/>
    </row>
    <row r="59">
      <c r="A59" s="17" t="n"/>
      <c r="B59" s="18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8" t="n"/>
      <c r="L59" s="6">
        <f>IF($J59="","",IFERROR(INDEX(Cadence!$B$4:$B$13,MATCH($J59,Cadence!$A$4:$A$13,0)),""))</f>
        <v/>
      </c>
      <c r="M59" s="19">
        <f>IF($J59="","",IFERROR(IF($K59="",$B59,$K59)+INDEX(Cadence!$C$4:$C$13,MATCH($J59,Cadence!$A$4:$A$13,0)),""))</f>
        <v/>
      </c>
      <c r="N59" s="20">
        <f>IF($M59="","",IF($M59&lt;TODAY(),"OVERDUE",IF($M59=TODAY(),"DUE TODAY",IF($M59&lt;=TODAY()+7,"THIS WEEK","LATER"))))</f>
        <v/>
      </c>
      <c r="O59" s="17" t="n"/>
      <c r="P59" s="17" t="n"/>
    </row>
    <row r="60">
      <c r="A60" s="17" t="n"/>
      <c r="B60" s="1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6">
        <f>IF($J60="","",IFERROR(INDEX(Cadence!$B$4:$B$13,MATCH($J60,Cadence!$A$4:$A$13,0)),""))</f>
        <v/>
      </c>
      <c r="M60" s="19">
        <f>IF($J60="","",IFERROR(IF($K60="",$B60,$K60)+INDEX(Cadence!$C$4:$C$13,MATCH($J60,Cadence!$A$4:$A$13,0)),""))</f>
        <v/>
      </c>
      <c r="N60" s="20">
        <f>IF($M60="","",IF($M60&lt;TODAY(),"OVERDUE",IF($M60=TODAY(),"DUE TODAY",IF($M60&lt;=TODAY()+7,"THIS WEEK","LATER"))))</f>
        <v/>
      </c>
      <c r="O60" s="17" t="n"/>
      <c r="P60" s="17" t="n"/>
    </row>
    <row r="61">
      <c r="A61" s="17" t="n"/>
      <c r="B61" s="18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8" t="n"/>
      <c r="L61" s="6">
        <f>IF($J61="","",IFERROR(INDEX(Cadence!$B$4:$B$13,MATCH($J61,Cadence!$A$4:$A$13,0)),""))</f>
        <v/>
      </c>
      <c r="M61" s="19">
        <f>IF($J61="","",IFERROR(IF($K61="",$B61,$K61)+INDEX(Cadence!$C$4:$C$13,MATCH($J61,Cadence!$A$4:$A$13,0)),""))</f>
        <v/>
      </c>
      <c r="N61" s="20">
        <f>IF($M61="","",IF($M61&lt;TODAY(),"OVERDUE",IF($M61=TODAY(),"DUE TODAY",IF($M61&lt;=TODAY()+7,"THIS WEEK","LATER"))))</f>
        <v/>
      </c>
      <c r="O61" s="17" t="n"/>
      <c r="P61" s="17" t="n"/>
    </row>
    <row r="62">
      <c r="A62" s="17" t="n"/>
      <c r="B62" s="18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6">
        <f>IF($J62="","",IFERROR(INDEX(Cadence!$B$4:$B$13,MATCH($J62,Cadence!$A$4:$A$13,0)),""))</f>
        <v/>
      </c>
      <c r="M62" s="19">
        <f>IF($J62="","",IFERROR(IF($K62="",$B62,$K62)+INDEX(Cadence!$C$4:$C$13,MATCH($J62,Cadence!$A$4:$A$13,0)),""))</f>
        <v/>
      </c>
      <c r="N62" s="20">
        <f>IF($M62="","",IF($M62&lt;TODAY(),"OVERDUE",IF($M62=TODAY(),"DUE TODAY",IF($M62&lt;=TODAY()+7,"THIS WEEK","LATER"))))</f>
        <v/>
      </c>
      <c r="O62" s="17" t="n"/>
      <c r="P62" s="17" t="n"/>
    </row>
    <row r="63">
      <c r="A63" s="17" t="n"/>
      <c r="B63" s="18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8" t="n"/>
      <c r="L63" s="6">
        <f>IF($J63="","",IFERROR(INDEX(Cadence!$B$4:$B$13,MATCH($J63,Cadence!$A$4:$A$13,0)),""))</f>
        <v/>
      </c>
      <c r="M63" s="19">
        <f>IF($J63="","",IFERROR(IF($K63="",$B63,$K63)+INDEX(Cadence!$C$4:$C$13,MATCH($J63,Cadence!$A$4:$A$13,0)),""))</f>
        <v/>
      </c>
      <c r="N63" s="20">
        <f>IF($M63="","",IF($M63&lt;TODAY(),"OVERDUE",IF($M63=TODAY(),"DUE TODAY",IF($M63&lt;=TODAY()+7,"THIS WEEK","LATER"))))</f>
        <v/>
      </c>
      <c r="O63" s="17" t="n"/>
      <c r="P63" s="17" t="n"/>
    </row>
    <row r="64">
      <c r="A64" s="17" t="n"/>
      <c r="B64" s="18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6">
        <f>IF($J64="","",IFERROR(INDEX(Cadence!$B$4:$B$13,MATCH($J64,Cadence!$A$4:$A$13,0)),""))</f>
        <v/>
      </c>
      <c r="M64" s="19">
        <f>IF($J64="","",IFERROR(IF($K64="",$B64,$K64)+INDEX(Cadence!$C$4:$C$13,MATCH($J64,Cadence!$A$4:$A$13,0)),""))</f>
        <v/>
      </c>
      <c r="N64" s="20">
        <f>IF($M64="","",IF($M64&lt;TODAY(),"OVERDUE",IF($M64=TODAY(),"DUE TODAY",IF($M64&lt;=TODAY()+7,"THIS WEEK","LATER"))))</f>
        <v/>
      </c>
      <c r="O64" s="17" t="n"/>
      <c r="P64" s="17" t="n"/>
    </row>
    <row r="65">
      <c r="A65" s="17" t="n"/>
      <c r="B65" s="18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8" t="n"/>
      <c r="L65" s="6">
        <f>IF($J65="","",IFERROR(INDEX(Cadence!$B$4:$B$13,MATCH($J65,Cadence!$A$4:$A$13,0)),""))</f>
        <v/>
      </c>
      <c r="M65" s="19">
        <f>IF($J65="","",IFERROR(IF($K65="",$B65,$K65)+INDEX(Cadence!$C$4:$C$13,MATCH($J65,Cadence!$A$4:$A$13,0)),""))</f>
        <v/>
      </c>
      <c r="N65" s="20">
        <f>IF($M65="","",IF($M65&lt;TODAY(),"OVERDUE",IF($M65=TODAY(),"DUE TODAY",IF($M65&lt;=TODAY()+7,"THIS WEEK","LATER"))))</f>
        <v/>
      </c>
      <c r="O65" s="17" t="n"/>
      <c r="P65" s="17" t="n"/>
    </row>
    <row r="66">
      <c r="A66" s="17" t="n"/>
      <c r="B66" s="18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6">
        <f>IF($J66="","",IFERROR(INDEX(Cadence!$B$4:$B$13,MATCH($J66,Cadence!$A$4:$A$13,0)),""))</f>
        <v/>
      </c>
      <c r="M66" s="19">
        <f>IF($J66="","",IFERROR(IF($K66="",$B66,$K66)+INDEX(Cadence!$C$4:$C$13,MATCH($J66,Cadence!$A$4:$A$13,0)),""))</f>
        <v/>
      </c>
      <c r="N66" s="20">
        <f>IF($M66="","",IF($M66&lt;TODAY(),"OVERDUE",IF($M66=TODAY(),"DUE TODAY",IF($M66&lt;=TODAY()+7,"THIS WEEK","LATER"))))</f>
        <v/>
      </c>
      <c r="O66" s="17" t="n"/>
      <c r="P66" s="17" t="n"/>
    </row>
    <row r="67">
      <c r="A67" s="17" t="n"/>
      <c r="B67" s="18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8" t="n"/>
      <c r="L67" s="6">
        <f>IF($J67="","",IFERROR(INDEX(Cadence!$B$4:$B$13,MATCH($J67,Cadence!$A$4:$A$13,0)),""))</f>
        <v/>
      </c>
      <c r="M67" s="19">
        <f>IF($J67="","",IFERROR(IF($K67="",$B67,$K67)+INDEX(Cadence!$C$4:$C$13,MATCH($J67,Cadence!$A$4:$A$13,0)),""))</f>
        <v/>
      </c>
      <c r="N67" s="20">
        <f>IF($M67="","",IF($M67&lt;TODAY(),"OVERDUE",IF($M67=TODAY(),"DUE TODAY",IF($M67&lt;=TODAY()+7,"THIS WEEK","LATER"))))</f>
        <v/>
      </c>
      <c r="O67" s="17" t="n"/>
      <c r="P67" s="17" t="n"/>
    </row>
    <row r="68">
      <c r="A68" s="17" t="n"/>
      <c r="B68" s="18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6">
        <f>IF($J68="","",IFERROR(INDEX(Cadence!$B$4:$B$13,MATCH($J68,Cadence!$A$4:$A$13,0)),""))</f>
        <v/>
      </c>
      <c r="M68" s="19">
        <f>IF($J68="","",IFERROR(IF($K68="",$B68,$K68)+INDEX(Cadence!$C$4:$C$13,MATCH($J68,Cadence!$A$4:$A$13,0)),""))</f>
        <v/>
      </c>
      <c r="N68" s="20">
        <f>IF($M68="","",IF($M68&lt;TODAY(),"OVERDUE",IF($M68=TODAY(),"DUE TODAY",IF($M68&lt;=TODAY()+7,"THIS WEEK","LATER"))))</f>
        <v/>
      </c>
      <c r="O68" s="17" t="n"/>
      <c r="P68" s="17" t="n"/>
    </row>
    <row r="69">
      <c r="A69" s="17" t="n"/>
      <c r="B69" s="18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8" t="n"/>
      <c r="L69" s="6">
        <f>IF($J69="","",IFERROR(INDEX(Cadence!$B$4:$B$13,MATCH($J69,Cadence!$A$4:$A$13,0)),""))</f>
        <v/>
      </c>
      <c r="M69" s="19">
        <f>IF($J69="","",IFERROR(IF($K69="",$B69,$K69)+INDEX(Cadence!$C$4:$C$13,MATCH($J69,Cadence!$A$4:$A$13,0)),""))</f>
        <v/>
      </c>
      <c r="N69" s="20">
        <f>IF($M69="","",IF($M69&lt;TODAY(),"OVERDUE",IF($M69=TODAY(),"DUE TODAY",IF($M69&lt;=TODAY()+7,"THIS WEEK","LATER"))))</f>
        <v/>
      </c>
      <c r="O69" s="17" t="n"/>
      <c r="P69" s="17" t="n"/>
    </row>
    <row r="70">
      <c r="A70" s="17" t="n"/>
      <c r="B70" s="18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6">
        <f>IF($J70="","",IFERROR(INDEX(Cadence!$B$4:$B$13,MATCH($J70,Cadence!$A$4:$A$13,0)),""))</f>
        <v/>
      </c>
      <c r="M70" s="19">
        <f>IF($J70="","",IFERROR(IF($K70="",$B70,$K70)+INDEX(Cadence!$C$4:$C$13,MATCH($J70,Cadence!$A$4:$A$13,0)),""))</f>
        <v/>
      </c>
      <c r="N70" s="20">
        <f>IF($M70="","",IF($M70&lt;TODAY(),"OVERDUE",IF($M70=TODAY(),"DUE TODAY",IF($M70&lt;=TODAY()+7,"THIS WEEK","LATER"))))</f>
        <v/>
      </c>
      <c r="O70" s="17" t="n"/>
      <c r="P70" s="17" t="n"/>
    </row>
    <row r="71">
      <c r="A71" s="17" t="n"/>
      <c r="B71" s="18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8" t="n"/>
      <c r="L71" s="6">
        <f>IF($J71="","",IFERROR(INDEX(Cadence!$B$4:$B$13,MATCH($J71,Cadence!$A$4:$A$13,0)),""))</f>
        <v/>
      </c>
      <c r="M71" s="19">
        <f>IF($J71="","",IFERROR(IF($K71="",$B71,$K71)+INDEX(Cadence!$C$4:$C$13,MATCH($J71,Cadence!$A$4:$A$13,0)),""))</f>
        <v/>
      </c>
      <c r="N71" s="20">
        <f>IF($M71="","",IF($M71&lt;TODAY(),"OVERDUE",IF($M71=TODAY(),"DUE TODAY",IF($M71&lt;=TODAY()+7,"THIS WEEK","LATER"))))</f>
        <v/>
      </c>
      <c r="O71" s="17" t="n"/>
      <c r="P71" s="17" t="n"/>
    </row>
    <row r="72">
      <c r="A72" s="17" t="n"/>
      <c r="B72" s="18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6">
        <f>IF($J72="","",IFERROR(INDEX(Cadence!$B$4:$B$13,MATCH($J72,Cadence!$A$4:$A$13,0)),""))</f>
        <v/>
      </c>
      <c r="M72" s="19">
        <f>IF($J72="","",IFERROR(IF($K72="",$B72,$K72)+INDEX(Cadence!$C$4:$C$13,MATCH($J72,Cadence!$A$4:$A$13,0)),""))</f>
        <v/>
      </c>
      <c r="N72" s="20">
        <f>IF($M72="","",IF($M72&lt;TODAY(),"OVERDUE",IF($M72=TODAY(),"DUE TODAY",IF($M72&lt;=TODAY()+7,"THIS WEEK","LATER"))))</f>
        <v/>
      </c>
      <c r="O72" s="17" t="n"/>
      <c r="P72" s="17" t="n"/>
    </row>
    <row r="73">
      <c r="A73" s="17" t="n"/>
      <c r="B73" s="18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8" t="n"/>
      <c r="L73" s="6">
        <f>IF($J73="","",IFERROR(INDEX(Cadence!$B$4:$B$13,MATCH($J73,Cadence!$A$4:$A$13,0)),""))</f>
        <v/>
      </c>
      <c r="M73" s="19">
        <f>IF($J73="","",IFERROR(IF($K73="",$B73,$K73)+INDEX(Cadence!$C$4:$C$13,MATCH($J73,Cadence!$A$4:$A$13,0)),""))</f>
        <v/>
      </c>
      <c r="N73" s="20">
        <f>IF($M73="","",IF($M73&lt;TODAY(),"OVERDUE",IF($M73=TODAY(),"DUE TODAY",IF($M73&lt;=TODAY()+7,"THIS WEEK","LATER"))))</f>
        <v/>
      </c>
      <c r="O73" s="17" t="n"/>
      <c r="P73" s="17" t="n"/>
    </row>
    <row r="74">
      <c r="A74" s="17" t="n"/>
      <c r="B74" s="18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6">
        <f>IF($J74="","",IFERROR(INDEX(Cadence!$B$4:$B$13,MATCH($J74,Cadence!$A$4:$A$13,0)),""))</f>
        <v/>
      </c>
      <c r="M74" s="19">
        <f>IF($J74="","",IFERROR(IF($K74="",$B74,$K74)+INDEX(Cadence!$C$4:$C$13,MATCH($J74,Cadence!$A$4:$A$13,0)),""))</f>
        <v/>
      </c>
      <c r="N74" s="20">
        <f>IF($M74="","",IF($M74&lt;TODAY(),"OVERDUE",IF($M74=TODAY(),"DUE TODAY",IF($M74&lt;=TODAY()+7,"THIS WEEK","LATER"))))</f>
        <v/>
      </c>
      <c r="O74" s="17" t="n"/>
      <c r="P74" s="17" t="n"/>
    </row>
    <row r="75">
      <c r="A75" s="17" t="n"/>
      <c r="B75" s="18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8" t="n"/>
      <c r="L75" s="6">
        <f>IF($J75="","",IFERROR(INDEX(Cadence!$B$4:$B$13,MATCH($J75,Cadence!$A$4:$A$13,0)),""))</f>
        <v/>
      </c>
      <c r="M75" s="19">
        <f>IF($J75="","",IFERROR(IF($K75="",$B75,$K75)+INDEX(Cadence!$C$4:$C$13,MATCH($J75,Cadence!$A$4:$A$13,0)),""))</f>
        <v/>
      </c>
      <c r="N75" s="20">
        <f>IF($M75="","",IF($M75&lt;TODAY(),"OVERDUE",IF($M75=TODAY(),"DUE TODAY",IF($M75&lt;=TODAY()+7,"THIS WEEK","LATER"))))</f>
        <v/>
      </c>
      <c r="O75" s="17" t="n"/>
      <c r="P75" s="17" t="n"/>
    </row>
    <row r="76">
      <c r="A76" s="17" t="n"/>
      <c r="B76" s="18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6">
        <f>IF($J76="","",IFERROR(INDEX(Cadence!$B$4:$B$13,MATCH($J76,Cadence!$A$4:$A$13,0)),""))</f>
        <v/>
      </c>
      <c r="M76" s="19">
        <f>IF($J76="","",IFERROR(IF($K76="",$B76,$K76)+INDEX(Cadence!$C$4:$C$13,MATCH($J76,Cadence!$A$4:$A$13,0)),""))</f>
        <v/>
      </c>
      <c r="N76" s="20">
        <f>IF($M76="","",IF($M76&lt;TODAY(),"OVERDUE",IF($M76=TODAY(),"DUE TODAY",IF($M76&lt;=TODAY()+7,"THIS WEEK","LATER"))))</f>
        <v/>
      </c>
      <c r="O76" s="17" t="n"/>
      <c r="P76" s="17" t="n"/>
    </row>
    <row r="77">
      <c r="A77" s="17" t="n"/>
      <c r="B77" s="18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8" t="n"/>
      <c r="L77" s="6">
        <f>IF($J77="","",IFERROR(INDEX(Cadence!$B$4:$B$13,MATCH($J77,Cadence!$A$4:$A$13,0)),""))</f>
        <v/>
      </c>
      <c r="M77" s="19">
        <f>IF($J77="","",IFERROR(IF($K77="",$B77,$K77)+INDEX(Cadence!$C$4:$C$13,MATCH($J77,Cadence!$A$4:$A$13,0)),""))</f>
        <v/>
      </c>
      <c r="N77" s="20">
        <f>IF($M77="","",IF($M77&lt;TODAY(),"OVERDUE",IF($M77=TODAY(),"DUE TODAY",IF($M77&lt;=TODAY()+7,"THIS WEEK","LATER"))))</f>
        <v/>
      </c>
      <c r="O77" s="17" t="n"/>
      <c r="P77" s="17" t="n"/>
    </row>
    <row r="78">
      <c r="A78" s="17" t="n"/>
      <c r="B78" s="18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6">
        <f>IF($J78="","",IFERROR(INDEX(Cadence!$B$4:$B$13,MATCH($J78,Cadence!$A$4:$A$13,0)),""))</f>
        <v/>
      </c>
      <c r="M78" s="19">
        <f>IF($J78="","",IFERROR(IF($K78="",$B78,$K78)+INDEX(Cadence!$C$4:$C$13,MATCH($J78,Cadence!$A$4:$A$13,0)),""))</f>
        <v/>
      </c>
      <c r="N78" s="20">
        <f>IF($M78="","",IF($M78&lt;TODAY(),"OVERDUE",IF($M78=TODAY(),"DUE TODAY",IF($M78&lt;=TODAY()+7,"THIS WEEK","LATER"))))</f>
        <v/>
      </c>
      <c r="O78" s="17" t="n"/>
      <c r="P78" s="17" t="n"/>
    </row>
    <row r="79">
      <c r="A79" s="17" t="n"/>
      <c r="B79" s="18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8" t="n"/>
      <c r="L79" s="6">
        <f>IF($J79="","",IFERROR(INDEX(Cadence!$B$4:$B$13,MATCH($J79,Cadence!$A$4:$A$13,0)),""))</f>
        <v/>
      </c>
      <c r="M79" s="19">
        <f>IF($J79="","",IFERROR(IF($K79="",$B79,$K79)+INDEX(Cadence!$C$4:$C$13,MATCH($J79,Cadence!$A$4:$A$13,0)),""))</f>
        <v/>
      </c>
      <c r="N79" s="20">
        <f>IF($M79="","",IF($M79&lt;TODAY(),"OVERDUE",IF($M79=TODAY(),"DUE TODAY",IF($M79&lt;=TODAY()+7,"THIS WEEK","LATER"))))</f>
        <v/>
      </c>
      <c r="O79" s="17" t="n"/>
      <c r="P79" s="17" t="n"/>
    </row>
    <row r="80">
      <c r="A80" s="17" t="n"/>
      <c r="B80" s="18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6">
        <f>IF($J80="","",IFERROR(INDEX(Cadence!$B$4:$B$13,MATCH($J80,Cadence!$A$4:$A$13,0)),""))</f>
        <v/>
      </c>
      <c r="M80" s="19">
        <f>IF($J80="","",IFERROR(IF($K80="",$B80,$K80)+INDEX(Cadence!$C$4:$C$13,MATCH($J80,Cadence!$A$4:$A$13,0)),""))</f>
        <v/>
      </c>
      <c r="N80" s="20">
        <f>IF($M80="","",IF($M80&lt;TODAY(),"OVERDUE",IF($M80=TODAY(),"DUE TODAY",IF($M80&lt;=TODAY()+7,"THIS WEEK","LATER"))))</f>
        <v/>
      </c>
      <c r="O80" s="17" t="n"/>
      <c r="P80" s="17" t="n"/>
    </row>
    <row r="81">
      <c r="A81" s="17" t="n"/>
      <c r="B81" s="18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8" t="n"/>
      <c r="L81" s="6">
        <f>IF($J81="","",IFERROR(INDEX(Cadence!$B$4:$B$13,MATCH($J81,Cadence!$A$4:$A$13,0)),""))</f>
        <v/>
      </c>
      <c r="M81" s="19">
        <f>IF($J81="","",IFERROR(IF($K81="",$B81,$K81)+INDEX(Cadence!$C$4:$C$13,MATCH($J81,Cadence!$A$4:$A$13,0)),""))</f>
        <v/>
      </c>
      <c r="N81" s="20">
        <f>IF($M81="","",IF($M81&lt;TODAY(),"OVERDUE",IF($M81=TODAY(),"DUE TODAY",IF($M81&lt;=TODAY()+7,"THIS WEEK","LATER"))))</f>
        <v/>
      </c>
      <c r="O81" s="17" t="n"/>
      <c r="P81" s="17" t="n"/>
    </row>
    <row r="82">
      <c r="A82" s="17" t="n"/>
      <c r="B82" s="18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6">
        <f>IF($J82="","",IFERROR(INDEX(Cadence!$B$4:$B$13,MATCH($J82,Cadence!$A$4:$A$13,0)),""))</f>
        <v/>
      </c>
      <c r="M82" s="19">
        <f>IF($J82="","",IFERROR(IF($K82="",$B82,$K82)+INDEX(Cadence!$C$4:$C$13,MATCH($J82,Cadence!$A$4:$A$13,0)),""))</f>
        <v/>
      </c>
      <c r="N82" s="20">
        <f>IF($M82="","",IF($M82&lt;TODAY(),"OVERDUE",IF($M82=TODAY(),"DUE TODAY",IF($M82&lt;=TODAY()+7,"THIS WEEK","LATER"))))</f>
        <v/>
      </c>
      <c r="O82" s="17" t="n"/>
      <c r="P82" s="17" t="n"/>
    </row>
    <row r="83">
      <c r="A83" s="17" t="n"/>
      <c r="B83" s="18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8" t="n"/>
      <c r="L83" s="6">
        <f>IF($J83="","",IFERROR(INDEX(Cadence!$B$4:$B$13,MATCH($J83,Cadence!$A$4:$A$13,0)),""))</f>
        <v/>
      </c>
      <c r="M83" s="19">
        <f>IF($J83="","",IFERROR(IF($K83="",$B83,$K83)+INDEX(Cadence!$C$4:$C$13,MATCH($J83,Cadence!$A$4:$A$13,0)),""))</f>
        <v/>
      </c>
      <c r="N83" s="20">
        <f>IF($M83="","",IF($M83&lt;TODAY(),"OVERDUE",IF($M83=TODAY(),"DUE TODAY",IF($M83&lt;=TODAY()+7,"THIS WEEK","LATER"))))</f>
        <v/>
      </c>
      <c r="O83" s="17" t="n"/>
      <c r="P83" s="17" t="n"/>
    </row>
    <row r="84">
      <c r="A84" s="17" t="n"/>
      <c r="B84" s="18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6">
        <f>IF($J84="","",IFERROR(INDEX(Cadence!$B$4:$B$13,MATCH($J84,Cadence!$A$4:$A$13,0)),""))</f>
        <v/>
      </c>
      <c r="M84" s="19">
        <f>IF($J84="","",IFERROR(IF($K84="",$B84,$K84)+INDEX(Cadence!$C$4:$C$13,MATCH($J84,Cadence!$A$4:$A$13,0)),""))</f>
        <v/>
      </c>
      <c r="N84" s="20">
        <f>IF($M84="","",IF($M84&lt;TODAY(),"OVERDUE",IF($M84=TODAY(),"DUE TODAY",IF($M84&lt;=TODAY()+7,"THIS WEEK","LATER"))))</f>
        <v/>
      </c>
      <c r="O84" s="17" t="n"/>
      <c r="P84" s="17" t="n"/>
    </row>
    <row r="85">
      <c r="A85" s="17" t="n"/>
      <c r="B85" s="18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8" t="n"/>
      <c r="L85" s="6">
        <f>IF($J85="","",IFERROR(INDEX(Cadence!$B$4:$B$13,MATCH($J85,Cadence!$A$4:$A$13,0)),""))</f>
        <v/>
      </c>
      <c r="M85" s="19">
        <f>IF($J85="","",IFERROR(IF($K85="",$B85,$K85)+INDEX(Cadence!$C$4:$C$13,MATCH($J85,Cadence!$A$4:$A$13,0)),""))</f>
        <v/>
      </c>
      <c r="N85" s="20">
        <f>IF($M85="","",IF($M85&lt;TODAY(),"OVERDUE",IF($M85=TODAY(),"DUE TODAY",IF($M85&lt;=TODAY()+7,"THIS WEEK","LATER"))))</f>
        <v/>
      </c>
      <c r="O85" s="17" t="n"/>
      <c r="P85" s="17" t="n"/>
    </row>
    <row r="86">
      <c r="A86" s="17" t="n"/>
      <c r="B86" s="18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6">
        <f>IF($J86="","",IFERROR(INDEX(Cadence!$B$4:$B$13,MATCH($J86,Cadence!$A$4:$A$13,0)),""))</f>
        <v/>
      </c>
      <c r="M86" s="19">
        <f>IF($J86="","",IFERROR(IF($K86="",$B86,$K86)+INDEX(Cadence!$C$4:$C$13,MATCH($J86,Cadence!$A$4:$A$13,0)),""))</f>
        <v/>
      </c>
      <c r="N86" s="20">
        <f>IF($M86="","",IF($M86&lt;TODAY(),"OVERDUE",IF($M86=TODAY(),"DUE TODAY",IF($M86&lt;=TODAY()+7,"THIS WEEK","LATER"))))</f>
        <v/>
      </c>
      <c r="O86" s="17" t="n"/>
      <c r="P86" s="17" t="n"/>
    </row>
    <row r="87">
      <c r="A87" s="17" t="n"/>
      <c r="B87" s="18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8" t="n"/>
      <c r="L87" s="6">
        <f>IF($J87="","",IFERROR(INDEX(Cadence!$B$4:$B$13,MATCH($J87,Cadence!$A$4:$A$13,0)),""))</f>
        <v/>
      </c>
      <c r="M87" s="19">
        <f>IF($J87="","",IFERROR(IF($K87="",$B87,$K87)+INDEX(Cadence!$C$4:$C$13,MATCH($J87,Cadence!$A$4:$A$13,0)),""))</f>
        <v/>
      </c>
      <c r="N87" s="20">
        <f>IF($M87="","",IF($M87&lt;TODAY(),"OVERDUE",IF($M87=TODAY(),"DUE TODAY",IF($M87&lt;=TODAY()+7,"THIS WEEK","LATER"))))</f>
        <v/>
      </c>
      <c r="O87" s="17" t="n"/>
      <c r="P87" s="17" t="n"/>
    </row>
    <row r="88">
      <c r="A88" s="17" t="n"/>
      <c r="B88" s="18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6">
        <f>IF($J88="","",IFERROR(INDEX(Cadence!$B$4:$B$13,MATCH($J88,Cadence!$A$4:$A$13,0)),""))</f>
        <v/>
      </c>
      <c r="M88" s="19">
        <f>IF($J88="","",IFERROR(IF($K88="",$B88,$K88)+INDEX(Cadence!$C$4:$C$13,MATCH($J88,Cadence!$A$4:$A$13,0)),""))</f>
        <v/>
      </c>
      <c r="N88" s="20">
        <f>IF($M88="","",IF($M88&lt;TODAY(),"OVERDUE",IF($M88=TODAY(),"DUE TODAY",IF($M88&lt;=TODAY()+7,"THIS WEEK","LATER"))))</f>
        <v/>
      </c>
      <c r="O88" s="17" t="n"/>
      <c r="P88" s="17" t="n"/>
    </row>
    <row r="89">
      <c r="A89" s="17" t="n"/>
      <c r="B89" s="18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8" t="n"/>
      <c r="L89" s="6">
        <f>IF($J89="","",IFERROR(INDEX(Cadence!$B$4:$B$13,MATCH($J89,Cadence!$A$4:$A$13,0)),""))</f>
        <v/>
      </c>
      <c r="M89" s="19">
        <f>IF($J89="","",IFERROR(IF($K89="",$B89,$K89)+INDEX(Cadence!$C$4:$C$13,MATCH($J89,Cadence!$A$4:$A$13,0)),""))</f>
        <v/>
      </c>
      <c r="N89" s="20">
        <f>IF($M89="","",IF($M89&lt;TODAY(),"OVERDUE",IF($M89=TODAY(),"DUE TODAY",IF($M89&lt;=TODAY()+7,"THIS WEEK","LATER"))))</f>
        <v/>
      </c>
      <c r="O89" s="17" t="n"/>
      <c r="P89" s="17" t="n"/>
    </row>
    <row r="90">
      <c r="A90" s="17" t="n"/>
      <c r="B90" s="18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6">
        <f>IF($J90="","",IFERROR(INDEX(Cadence!$B$4:$B$13,MATCH($J90,Cadence!$A$4:$A$13,0)),""))</f>
        <v/>
      </c>
      <c r="M90" s="19">
        <f>IF($J90="","",IFERROR(IF($K90="",$B90,$K90)+INDEX(Cadence!$C$4:$C$13,MATCH($J90,Cadence!$A$4:$A$13,0)),""))</f>
        <v/>
      </c>
      <c r="N90" s="20">
        <f>IF($M90="","",IF($M90&lt;TODAY(),"OVERDUE",IF($M90=TODAY(),"DUE TODAY",IF($M90&lt;=TODAY()+7,"THIS WEEK","LATER"))))</f>
        <v/>
      </c>
      <c r="O90" s="17" t="n"/>
      <c r="P90" s="17" t="n"/>
    </row>
    <row r="91">
      <c r="A91" s="17" t="n"/>
      <c r="B91" s="18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8" t="n"/>
      <c r="L91" s="6">
        <f>IF($J91="","",IFERROR(INDEX(Cadence!$B$4:$B$13,MATCH($J91,Cadence!$A$4:$A$13,0)),""))</f>
        <v/>
      </c>
      <c r="M91" s="19">
        <f>IF($J91="","",IFERROR(IF($K91="",$B91,$K91)+INDEX(Cadence!$C$4:$C$13,MATCH($J91,Cadence!$A$4:$A$13,0)),""))</f>
        <v/>
      </c>
      <c r="N91" s="20">
        <f>IF($M91="","",IF($M91&lt;TODAY(),"OVERDUE",IF($M91=TODAY(),"DUE TODAY",IF($M91&lt;=TODAY()+7,"THIS WEEK","LATER"))))</f>
        <v/>
      </c>
      <c r="O91" s="17" t="n"/>
      <c r="P91" s="17" t="n"/>
    </row>
    <row r="92">
      <c r="A92" s="17" t="n"/>
      <c r="B92" s="18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6">
        <f>IF($J92="","",IFERROR(INDEX(Cadence!$B$4:$B$13,MATCH($J92,Cadence!$A$4:$A$13,0)),""))</f>
        <v/>
      </c>
      <c r="M92" s="19">
        <f>IF($J92="","",IFERROR(IF($K92="",$B92,$K92)+INDEX(Cadence!$C$4:$C$13,MATCH($J92,Cadence!$A$4:$A$13,0)),""))</f>
        <v/>
      </c>
      <c r="N92" s="20">
        <f>IF($M92="","",IF($M92&lt;TODAY(),"OVERDUE",IF($M92=TODAY(),"DUE TODAY",IF($M92&lt;=TODAY()+7,"THIS WEEK","LATER"))))</f>
        <v/>
      </c>
      <c r="O92" s="17" t="n"/>
      <c r="P92" s="17" t="n"/>
    </row>
    <row r="93">
      <c r="A93" s="17" t="n"/>
      <c r="B93" s="18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8" t="n"/>
      <c r="L93" s="6">
        <f>IF($J93="","",IFERROR(INDEX(Cadence!$B$4:$B$13,MATCH($J93,Cadence!$A$4:$A$13,0)),""))</f>
        <v/>
      </c>
      <c r="M93" s="19">
        <f>IF($J93="","",IFERROR(IF($K93="",$B93,$K93)+INDEX(Cadence!$C$4:$C$13,MATCH($J93,Cadence!$A$4:$A$13,0)),""))</f>
        <v/>
      </c>
      <c r="N93" s="20">
        <f>IF($M93="","",IF($M93&lt;TODAY(),"OVERDUE",IF($M93=TODAY(),"DUE TODAY",IF($M93&lt;=TODAY()+7,"THIS WEEK","LATER"))))</f>
        <v/>
      </c>
      <c r="O93" s="17" t="n"/>
      <c r="P93" s="17" t="n"/>
    </row>
    <row r="94">
      <c r="A94" s="17" t="n"/>
      <c r="B94" s="18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6">
        <f>IF($J94="","",IFERROR(INDEX(Cadence!$B$4:$B$13,MATCH($J94,Cadence!$A$4:$A$13,0)),""))</f>
        <v/>
      </c>
      <c r="M94" s="19">
        <f>IF($J94="","",IFERROR(IF($K94="",$B94,$K94)+INDEX(Cadence!$C$4:$C$13,MATCH($J94,Cadence!$A$4:$A$13,0)),""))</f>
        <v/>
      </c>
      <c r="N94" s="20">
        <f>IF($M94="","",IF($M94&lt;TODAY(),"OVERDUE",IF($M94=TODAY(),"DUE TODAY",IF($M94&lt;=TODAY()+7,"THIS WEEK","LATER"))))</f>
        <v/>
      </c>
      <c r="O94" s="17" t="n"/>
      <c r="P94" s="17" t="n"/>
    </row>
    <row r="95">
      <c r="A95" s="17" t="n"/>
      <c r="B95" s="18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8" t="n"/>
      <c r="L95" s="6">
        <f>IF($J95="","",IFERROR(INDEX(Cadence!$B$4:$B$13,MATCH($J95,Cadence!$A$4:$A$13,0)),""))</f>
        <v/>
      </c>
      <c r="M95" s="19">
        <f>IF($J95="","",IFERROR(IF($K95="",$B95,$K95)+INDEX(Cadence!$C$4:$C$13,MATCH($J95,Cadence!$A$4:$A$13,0)),""))</f>
        <v/>
      </c>
      <c r="N95" s="20">
        <f>IF($M95="","",IF($M95&lt;TODAY(),"OVERDUE",IF($M95=TODAY(),"DUE TODAY",IF($M95&lt;=TODAY()+7,"THIS WEEK","LATER"))))</f>
        <v/>
      </c>
      <c r="O95" s="17" t="n"/>
      <c r="P95" s="17" t="n"/>
    </row>
    <row r="96">
      <c r="A96" s="17" t="n"/>
      <c r="B96" s="18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6">
        <f>IF($J96="","",IFERROR(INDEX(Cadence!$B$4:$B$13,MATCH($J96,Cadence!$A$4:$A$13,0)),""))</f>
        <v/>
      </c>
      <c r="M96" s="19">
        <f>IF($J96="","",IFERROR(IF($K96="",$B96,$K96)+INDEX(Cadence!$C$4:$C$13,MATCH($J96,Cadence!$A$4:$A$13,0)),""))</f>
        <v/>
      </c>
      <c r="N96" s="20">
        <f>IF($M96="","",IF($M96&lt;TODAY(),"OVERDUE",IF($M96=TODAY(),"DUE TODAY",IF($M96&lt;=TODAY()+7,"THIS WEEK","LATER"))))</f>
        <v/>
      </c>
      <c r="O96" s="17" t="n"/>
      <c r="P96" s="17" t="n"/>
    </row>
    <row r="97">
      <c r="A97" s="17" t="n"/>
      <c r="B97" s="18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8" t="n"/>
      <c r="L97" s="6">
        <f>IF($J97="","",IFERROR(INDEX(Cadence!$B$4:$B$13,MATCH($J97,Cadence!$A$4:$A$13,0)),""))</f>
        <v/>
      </c>
      <c r="M97" s="19">
        <f>IF($J97="","",IFERROR(IF($K97="",$B97,$K97)+INDEX(Cadence!$C$4:$C$13,MATCH($J97,Cadence!$A$4:$A$13,0)),""))</f>
        <v/>
      </c>
      <c r="N97" s="20">
        <f>IF($M97="","",IF($M97&lt;TODAY(),"OVERDUE",IF($M97=TODAY(),"DUE TODAY",IF($M97&lt;=TODAY()+7,"THIS WEEK","LATER"))))</f>
        <v/>
      </c>
      <c r="O97" s="17" t="n"/>
      <c r="P97" s="17" t="n"/>
    </row>
    <row r="98">
      <c r="A98" s="17" t="n"/>
      <c r="B98" s="18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6">
        <f>IF($J98="","",IFERROR(INDEX(Cadence!$B$4:$B$13,MATCH($J98,Cadence!$A$4:$A$13,0)),""))</f>
        <v/>
      </c>
      <c r="M98" s="19">
        <f>IF($J98="","",IFERROR(IF($K98="",$B98,$K98)+INDEX(Cadence!$C$4:$C$13,MATCH($J98,Cadence!$A$4:$A$13,0)),""))</f>
        <v/>
      </c>
      <c r="N98" s="20">
        <f>IF($M98="","",IF($M98&lt;TODAY(),"OVERDUE",IF($M98=TODAY(),"DUE TODAY",IF($M98&lt;=TODAY()+7,"THIS WEEK","LATER"))))</f>
        <v/>
      </c>
      <c r="O98" s="17" t="n"/>
      <c r="P98" s="17" t="n"/>
    </row>
    <row r="99">
      <c r="A99" s="17" t="n"/>
      <c r="B99" s="18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8" t="n"/>
      <c r="L99" s="6">
        <f>IF($J99="","",IFERROR(INDEX(Cadence!$B$4:$B$13,MATCH($J99,Cadence!$A$4:$A$13,0)),""))</f>
        <v/>
      </c>
      <c r="M99" s="19">
        <f>IF($J99="","",IFERROR(IF($K99="",$B99,$K99)+INDEX(Cadence!$C$4:$C$13,MATCH($J99,Cadence!$A$4:$A$13,0)),""))</f>
        <v/>
      </c>
      <c r="N99" s="20">
        <f>IF($M99="","",IF($M99&lt;TODAY(),"OVERDUE",IF($M99=TODAY(),"DUE TODAY",IF($M99&lt;=TODAY()+7,"THIS WEEK","LATER"))))</f>
        <v/>
      </c>
      <c r="O99" s="17" t="n"/>
      <c r="P99" s="17" t="n"/>
    </row>
    <row r="100">
      <c r="A100" s="17" t="n"/>
      <c r="B100" s="18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6">
        <f>IF($J100="","",IFERROR(INDEX(Cadence!$B$4:$B$13,MATCH($J100,Cadence!$A$4:$A$13,0)),""))</f>
        <v/>
      </c>
      <c r="M100" s="19">
        <f>IF($J100="","",IFERROR(IF($K100="",$B100,$K100)+INDEX(Cadence!$C$4:$C$13,MATCH($J100,Cadence!$A$4:$A$13,0)),""))</f>
        <v/>
      </c>
      <c r="N100" s="20">
        <f>IF($M100="","",IF($M100&lt;TODAY(),"OVERDUE",IF($M100=TODAY(),"DUE TODAY",IF($M100&lt;=TODAY()+7,"THIS WEEK","LATER"))))</f>
        <v/>
      </c>
      <c r="O100" s="17" t="n"/>
      <c r="P100" s="17" t="n"/>
    </row>
    <row r="101">
      <c r="A101" s="17" t="n"/>
      <c r="B101" s="18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8" t="n"/>
      <c r="L101" s="6">
        <f>IF($J101="","",IFERROR(INDEX(Cadence!$B$4:$B$13,MATCH($J101,Cadence!$A$4:$A$13,0)),""))</f>
        <v/>
      </c>
      <c r="M101" s="19">
        <f>IF($J101="","",IFERROR(IF($K101="",$B101,$K101)+INDEX(Cadence!$C$4:$C$13,MATCH($J101,Cadence!$A$4:$A$13,0)),""))</f>
        <v/>
      </c>
      <c r="N101" s="20">
        <f>IF($M101="","",IF($M101&lt;TODAY(),"OVERDUE",IF($M101=TODAY(),"DUE TODAY",IF($M101&lt;=TODAY()+7,"THIS WEEK","LATER"))))</f>
        <v/>
      </c>
      <c r="O101" s="17" t="n"/>
      <c r="P101" s="17" t="n"/>
    </row>
    <row r="102">
      <c r="A102" s="17" t="n"/>
      <c r="B102" s="18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6">
        <f>IF($J102="","",IFERROR(INDEX(Cadence!$B$4:$B$13,MATCH($J102,Cadence!$A$4:$A$13,0)),""))</f>
        <v/>
      </c>
      <c r="M102" s="19">
        <f>IF($J102="","",IFERROR(IF($K102="",$B102,$K102)+INDEX(Cadence!$C$4:$C$13,MATCH($J102,Cadence!$A$4:$A$13,0)),""))</f>
        <v/>
      </c>
      <c r="N102" s="20">
        <f>IF($M102="","",IF($M102&lt;TODAY(),"OVERDUE",IF($M102=TODAY(),"DUE TODAY",IF($M102&lt;=TODAY()+7,"THIS WEEK","LATER"))))</f>
        <v/>
      </c>
      <c r="O102" s="17" t="n"/>
      <c r="P102" s="17" t="n"/>
    </row>
    <row r="103">
      <c r="A103" s="17" t="n"/>
      <c r="B103" s="18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8" t="n"/>
      <c r="L103" s="6">
        <f>IF($J103="","",IFERROR(INDEX(Cadence!$B$4:$B$13,MATCH($J103,Cadence!$A$4:$A$13,0)),""))</f>
        <v/>
      </c>
      <c r="M103" s="19">
        <f>IF($J103="","",IFERROR(IF($K103="",$B103,$K103)+INDEX(Cadence!$C$4:$C$13,MATCH($J103,Cadence!$A$4:$A$13,0)),""))</f>
        <v/>
      </c>
      <c r="N103" s="20">
        <f>IF($M103="","",IF($M103&lt;TODAY(),"OVERDUE",IF($M103=TODAY(),"DUE TODAY",IF($M103&lt;=TODAY()+7,"THIS WEEK","LATER"))))</f>
        <v/>
      </c>
      <c r="O103" s="17" t="n"/>
      <c r="P103" s="17" t="n"/>
    </row>
    <row r="104">
      <c r="A104" s="17" t="n"/>
      <c r="B104" s="18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6">
        <f>IF($J104="","",IFERROR(INDEX(Cadence!$B$4:$B$13,MATCH($J104,Cadence!$A$4:$A$13,0)),""))</f>
        <v/>
      </c>
      <c r="M104" s="19">
        <f>IF($J104="","",IFERROR(IF($K104="",$B104,$K104)+INDEX(Cadence!$C$4:$C$13,MATCH($J104,Cadence!$A$4:$A$13,0)),""))</f>
        <v/>
      </c>
      <c r="N104" s="20">
        <f>IF($M104="","",IF($M104&lt;TODAY(),"OVERDUE",IF($M104=TODAY(),"DUE TODAY",IF($M104&lt;=TODAY()+7,"THIS WEEK","LATER"))))</f>
        <v/>
      </c>
      <c r="O104" s="17" t="n"/>
      <c r="P104" s="17" t="n"/>
    </row>
    <row r="105">
      <c r="A105" s="17" t="n"/>
      <c r="B105" s="18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8" t="n"/>
      <c r="L105" s="6">
        <f>IF($J105="","",IFERROR(INDEX(Cadence!$B$4:$B$13,MATCH($J105,Cadence!$A$4:$A$13,0)),""))</f>
        <v/>
      </c>
      <c r="M105" s="19">
        <f>IF($J105="","",IFERROR(IF($K105="",$B105,$K105)+INDEX(Cadence!$C$4:$C$13,MATCH($J105,Cadence!$A$4:$A$13,0)),""))</f>
        <v/>
      </c>
      <c r="N105" s="20">
        <f>IF($M105="","",IF($M105&lt;TODAY(),"OVERDUE",IF($M105=TODAY(),"DUE TODAY",IF($M105&lt;=TODAY()+7,"THIS WEEK","LATER"))))</f>
        <v/>
      </c>
      <c r="O105" s="17" t="n"/>
      <c r="P105" s="17" t="n"/>
    </row>
    <row r="106">
      <c r="A106" s="17" t="n"/>
      <c r="B106" s="18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6">
        <f>IF($J106="","",IFERROR(INDEX(Cadence!$B$4:$B$13,MATCH($J106,Cadence!$A$4:$A$13,0)),""))</f>
        <v/>
      </c>
      <c r="M106" s="19">
        <f>IF($J106="","",IFERROR(IF($K106="",$B106,$K106)+INDEX(Cadence!$C$4:$C$13,MATCH($J106,Cadence!$A$4:$A$13,0)),""))</f>
        <v/>
      </c>
      <c r="N106" s="20">
        <f>IF($M106="","",IF($M106&lt;TODAY(),"OVERDUE",IF($M106=TODAY(),"DUE TODAY",IF($M106&lt;=TODAY()+7,"THIS WEEK","LATER"))))</f>
        <v/>
      </c>
      <c r="O106" s="17" t="n"/>
      <c r="P106" s="17" t="n"/>
    </row>
    <row r="107">
      <c r="A107" s="17" t="n"/>
      <c r="B107" s="18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8" t="n"/>
      <c r="L107" s="6">
        <f>IF($J107="","",IFERROR(INDEX(Cadence!$B$4:$B$13,MATCH($J107,Cadence!$A$4:$A$13,0)),""))</f>
        <v/>
      </c>
      <c r="M107" s="19">
        <f>IF($J107="","",IFERROR(IF($K107="",$B107,$K107)+INDEX(Cadence!$C$4:$C$13,MATCH($J107,Cadence!$A$4:$A$13,0)),""))</f>
        <v/>
      </c>
      <c r="N107" s="20">
        <f>IF($M107="","",IF($M107&lt;TODAY(),"OVERDUE",IF($M107=TODAY(),"DUE TODAY",IF($M107&lt;=TODAY()+7,"THIS WEEK","LATER"))))</f>
        <v/>
      </c>
      <c r="O107" s="17" t="n"/>
      <c r="P107" s="17" t="n"/>
    </row>
    <row r="108">
      <c r="A108" s="17" t="n"/>
      <c r="B108" s="18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6">
        <f>IF($J108="","",IFERROR(INDEX(Cadence!$B$4:$B$13,MATCH($J108,Cadence!$A$4:$A$13,0)),""))</f>
        <v/>
      </c>
      <c r="M108" s="19">
        <f>IF($J108="","",IFERROR(IF($K108="",$B108,$K108)+INDEX(Cadence!$C$4:$C$13,MATCH($J108,Cadence!$A$4:$A$13,0)),""))</f>
        <v/>
      </c>
      <c r="N108" s="20">
        <f>IF($M108="","",IF($M108&lt;TODAY(),"OVERDUE",IF($M108=TODAY(),"DUE TODAY",IF($M108&lt;=TODAY()+7,"THIS WEEK","LATER"))))</f>
        <v/>
      </c>
      <c r="O108" s="17" t="n"/>
      <c r="P108" s="17" t="n"/>
    </row>
    <row r="109">
      <c r="A109" s="17" t="n"/>
      <c r="B109" s="18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8" t="n"/>
      <c r="L109" s="6">
        <f>IF($J109="","",IFERROR(INDEX(Cadence!$B$4:$B$13,MATCH($J109,Cadence!$A$4:$A$13,0)),""))</f>
        <v/>
      </c>
      <c r="M109" s="19">
        <f>IF($J109="","",IFERROR(IF($K109="",$B109,$K109)+INDEX(Cadence!$C$4:$C$13,MATCH($J109,Cadence!$A$4:$A$13,0)),""))</f>
        <v/>
      </c>
      <c r="N109" s="20">
        <f>IF($M109="","",IF($M109&lt;TODAY(),"OVERDUE",IF($M109=TODAY(),"DUE TODAY",IF($M109&lt;=TODAY()+7,"THIS WEEK","LATER"))))</f>
        <v/>
      </c>
      <c r="O109" s="17" t="n"/>
      <c r="P109" s="17" t="n"/>
    </row>
    <row r="110">
      <c r="A110" s="17" t="n"/>
      <c r="B110" s="18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6">
        <f>IF($J110="","",IFERROR(INDEX(Cadence!$B$4:$B$13,MATCH($J110,Cadence!$A$4:$A$13,0)),""))</f>
        <v/>
      </c>
      <c r="M110" s="19">
        <f>IF($J110="","",IFERROR(IF($K110="",$B110,$K110)+INDEX(Cadence!$C$4:$C$13,MATCH($J110,Cadence!$A$4:$A$13,0)),""))</f>
        <v/>
      </c>
      <c r="N110" s="20">
        <f>IF($M110="","",IF($M110&lt;TODAY(),"OVERDUE",IF($M110=TODAY(),"DUE TODAY",IF($M110&lt;=TODAY()+7,"THIS WEEK","LATER"))))</f>
        <v/>
      </c>
      <c r="O110" s="17" t="n"/>
      <c r="P110" s="17" t="n"/>
    </row>
    <row r="111">
      <c r="A111" s="17" t="n"/>
      <c r="B111" s="18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8" t="n"/>
      <c r="L111" s="6">
        <f>IF($J111="","",IFERROR(INDEX(Cadence!$B$4:$B$13,MATCH($J111,Cadence!$A$4:$A$13,0)),""))</f>
        <v/>
      </c>
      <c r="M111" s="19">
        <f>IF($J111="","",IFERROR(IF($K111="",$B111,$K111)+INDEX(Cadence!$C$4:$C$13,MATCH($J111,Cadence!$A$4:$A$13,0)),""))</f>
        <v/>
      </c>
      <c r="N111" s="20">
        <f>IF($M111="","",IF($M111&lt;TODAY(),"OVERDUE",IF($M111=TODAY(),"DUE TODAY",IF($M111&lt;=TODAY()+7,"THIS WEEK","LATER"))))</f>
        <v/>
      </c>
      <c r="O111" s="17" t="n"/>
      <c r="P111" s="17" t="n"/>
    </row>
    <row r="112">
      <c r="A112" s="17" t="n"/>
      <c r="B112" s="18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6">
        <f>IF($J112="","",IFERROR(INDEX(Cadence!$B$4:$B$13,MATCH($J112,Cadence!$A$4:$A$13,0)),""))</f>
        <v/>
      </c>
      <c r="M112" s="19">
        <f>IF($J112="","",IFERROR(IF($K112="",$B112,$K112)+INDEX(Cadence!$C$4:$C$13,MATCH($J112,Cadence!$A$4:$A$13,0)),""))</f>
        <v/>
      </c>
      <c r="N112" s="20">
        <f>IF($M112="","",IF($M112&lt;TODAY(),"OVERDUE",IF($M112=TODAY(),"DUE TODAY",IF($M112&lt;=TODAY()+7,"THIS WEEK","LATER"))))</f>
        <v/>
      </c>
      <c r="O112" s="17" t="n"/>
      <c r="P112" s="17" t="n"/>
    </row>
    <row r="113">
      <c r="A113" s="17" t="n"/>
      <c r="B113" s="18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8" t="n"/>
      <c r="L113" s="6">
        <f>IF($J113="","",IFERROR(INDEX(Cadence!$B$4:$B$13,MATCH($J113,Cadence!$A$4:$A$13,0)),""))</f>
        <v/>
      </c>
      <c r="M113" s="19">
        <f>IF($J113="","",IFERROR(IF($K113="",$B113,$K113)+INDEX(Cadence!$C$4:$C$13,MATCH($J113,Cadence!$A$4:$A$13,0)),""))</f>
        <v/>
      </c>
      <c r="N113" s="20">
        <f>IF($M113="","",IF($M113&lt;TODAY(),"OVERDUE",IF($M113=TODAY(),"DUE TODAY",IF($M113&lt;=TODAY()+7,"THIS WEEK","LATER"))))</f>
        <v/>
      </c>
      <c r="O113" s="17" t="n"/>
      <c r="P113" s="17" t="n"/>
    </row>
    <row r="114">
      <c r="A114" s="17" t="n"/>
      <c r="B114" s="18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6">
        <f>IF($J114="","",IFERROR(INDEX(Cadence!$B$4:$B$13,MATCH($J114,Cadence!$A$4:$A$13,0)),""))</f>
        <v/>
      </c>
      <c r="M114" s="19">
        <f>IF($J114="","",IFERROR(IF($K114="",$B114,$K114)+INDEX(Cadence!$C$4:$C$13,MATCH($J114,Cadence!$A$4:$A$13,0)),""))</f>
        <v/>
      </c>
      <c r="N114" s="20">
        <f>IF($M114="","",IF($M114&lt;TODAY(),"OVERDUE",IF($M114=TODAY(),"DUE TODAY",IF($M114&lt;=TODAY()+7,"THIS WEEK","LATER"))))</f>
        <v/>
      </c>
      <c r="O114" s="17" t="n"/>
      <c r="P114" s="17" t="n"/>
    </row>
    <row r="115">
      <c r="A115" s="17" t="n"/>
      <c r="B115" s="18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8" t="n"/>
      <c r="L115" s="6">
        <f>IF($J115="","",IFERROR(INDEX(Cadence!$B$4:$B$13,MATCH($J115,Cadence!$A$4:$A$13,0)),""))</f>
        <v/>
      </c>
      <c r="M115" s="19">
        <f>IF($J115="","",IFERROR(IF($K115="",$B115,$K115)+INDEX(Cadence!$C$4:$C$13,MATCH($J115,Cadence!$A$4:$A$13,0)),""))</f>
        <v/>
      </c>
      <c r="N115" s="20">
        <f>IF($M115="","",IF($M115&lt;TODAY(),"OVERDUE",IF($M115=TODAY(),"DUE TODAY",IF($M115&lt;=TODAY()+7,"THIS WEEK","LATER"))))</f>
        <v/>
      </c>
      <c r="O115" s="17" t="n"/>
      <c r="P115" s="17" t="n"/>
    </row>
    <row r="116">
      <c r="A116" s="17" t="n"/>
      <c r="B116" s="18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6">
        <f>IF($J116="","",IFERROR(INDEX(Cadence!$B$4:$B$13,MATCH($J116,Cadence!$A$4:$A$13,0)),""))</f>
        <v/>
      </c>
      <c r="M116" s="19">
        <f>IF($J116="","",IFERROR(IF($K116="",$B116,$K116)+INDEX(Cadence!$C$4:$C$13,MATCH($J116,Cadence!$A$4:$A$13,0)),""))</f>
        <v/>
      </c>
      <c r="N116" s="20">
        <f>IF($M116="","",IF($M116&lt;TODAY(),"OVERDUE",IF($M116=TODAY(),"DUE TODAY",IF($M116&lt;=TODAY()+7,"THIS WEEK","LATER"))))</f>
        <v/>
      </c>
      <c r="O116" s="17" t="n"/>
      <c r="P116" s="17" t="n"/>
    </row>
    <row r="117">
      <c r="A117" s="17" t="n"/>
      <c r="B117" s="18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8" t="n"/>
      <c r="L117" s="6">
        <f>IF($J117="","",IFERROR(INDEX(Cadence!$B$4:$B$13,MATCH($J117,Cadence!$A$4:$A$13,0)),""))</f>
        <v/>
      </c>
      <c r="M117" s="19">
        <f>IF($J117="","",IFERROR(IF($K117="",$B117,$K117)+INDEX(Cadence!$C$4:$C$13,MATCH($J117,Cadence!$A$4:$A$13,0)),""))</f>
        <v/>
      </c>
      <c r="N117" s="20">
        <f>IF($M117="","",IF($M117&lt;TODAY(),"OVERDUE",IF($M117=TODAY(),"DUE TODAY",IF($M117&lt;=TODAY()+7,"THIS WEEK","LATER"))))</f>
        <v/>
      </c>
      <c r="O117" s="17" t="n"/>
      <c r="P117" s="17" t="n"/>
    </row>
    <row r="118">
      <c r="A118" s="17" t="n"/>
      <c r="B118" s="18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6">
        <f>IF($J118="","",IFERROR(INDEX(Cadence!$B$4:$B$13,MATCH($J118,Cadence!$A$4:$A$13,0)),""))</f>
        <v/>
      </c>
      <c r="M118" s="19">
        <f>IF($J118="","",IFERROR(IF($K118="",$B118,$K118)+INDEX(Cadence!$C$4:$C$13,MATCH($J118,Cadence!$A$4:$A$13,0)),""))</f>
        <v/>
      </c>
      <c r="N118" s="20">
        <f>IF($M118="","",IF($M118&lt;TODAY(),"OVERDUE",IF($M118=TODAY(),"DUE TODAY",IF($M118&lt;=TODAY()+7,"THIS WEEK","LATER"))))</f>
        <v/>
      </c>
      <c r="O118" s="17" t="n"/>
      <c r="P118" s="17" t="n"/>
    </row>
    <row r="119">
      <c r="A119" s="17" t="n"/>
      <c r="B119" s="18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8" t="n"/>
      <c r="L119" s="6">
        <f>IF($J119="","",IFERROR(INDEX(Cadence!$B$4:$B$13,MATCH($J119,Cadence!$A$4:$A$13,0)),""))</f>
        <v/>
      </c>
      <c r="M119" s="19">
        <f>IF($J119="","",IFERROR(IF($K119="",$B119,$K119)+INDEX(Cadence!$C$4:$C$13,MATCH($J119,Cadence!$A$4:$A$13,0)),""))</f>
        <v/>
      </c>
      <c r="N119" s="20">
        <f>IF($M119="","",IF($M119&lt;TODAY(),"OVERDUE",IF($M119=TODAY(),"DUE TODAY",IF($M119&lt;=TODAY()+7,"THIS WEEK","LATER"))))</f>
        <v/>
      </c>
      <c r="O119" s="17" t="n"/>
      <c r="P119" s="17" t="n"/>
    </row>
    <row r="120">
      <c r="A120" s="17" t="n"/>
      <c r="B120" s="18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6">
        <f>IF($J120="","",IFERROR(INDEX(Cadence!$B$4:$B$13,MATCH($J120,Cadence!$A$4:$A$13,0)),""))</f>
        <v/>
      </c>
      <c r="M120" s="19">
        <f>IF($J120="","",IFERROR(IF($K120="",$B120,$K120)+INDEX(Cadence!$C$4:$C$13,MATCH($J120,Cadence!$A$4:$A$13,0)),""))</f>
        <v/>
      </c>
      <c r="N120" s="20">
        <f>IF($M120="","",IF($M120&lt;TODAY(),"OVERDUE",IF($M120=TODAY(),"DUE TODAY",IF($M120&lt;=TODAY()+7,"THIS WEEK","LATER"))))</f>
        <v/>
      </c>
      <c r="O120" s="17" t="n"/>
      <c r="P120" s="17" t="n"/>
    </row>
    <row r="121">
      <c r="A121" s="17" t="n"/>
      <c r="B121" s="18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8" t="n"/>
      <c r="L121" s="6">
        <f>IF($J121="","",IFERROR(INDEX(Cadence!$B$4:$B$13,MATCH($J121,Cadence!$A$4:$A$13,0)),""))</f>
        <v/>
      </c>
      <c r="M121" s="19">
        <f>IF($J121="","",IFERROR(IF($K121="",$B121,$K121)+INDEX(Cadence!$C$4:$C$13,MATCH($J121,Cadence!$A$4:$A$13,0)),""))</f>
        <v/>
      </c>
      <c r="N121" s="20">
        <f>IF($M121="","",IF($M121&lt;TODAY(),"OVERDUE",IF($M121=TODAY(),"DUE TODAY",IF($M121&lt;=TODAY()+7,"THIS WEEK","LATER"))))</f>
        <v/>
      </c>
      <c r="O121" s="17" t="n"/>
      <c r="P121" s="17" t="n"/>
    </row>
    <row r="122">
      <c r="A122" s="17" t="n"/>
      <c r="B122" s="18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6">
        <f>IF($J122="","",IFERROR(INDEX(Cadence!$B$4:$B$13,MATCH($J122,Cadence!$A$4:$A$13,0)),""))</f>
        <v/>
      </c>
      <c r="M122" s="19">
        <f>IF($J122="","",IFERROR(IF($K122="",$B122,$K122)+INDEX(Cadence!$C$4:$C$13,MATCH($J122,Cadence!$A$4:$A$13,0)),""))</f>
        <v/>
      </c>
      <c r="N122" s="20">
        <f>IF($M122="","",IF($M122&lt;TODAY(),"OVERDUE",IF($M122=TODAY(),"DUE TODAY",IF($M122&lt;=TODAY()+7,"THIS WEEK","LATER"))))</f>
        <v/>
      </c>
      <c r="O122" s="17" t="n"/>
      <c r="P122" s="17" t="n"/>
    </row>
    <row r="123">
      <c r="A123" s="17" t="n"/>
      <c r="B123" s="18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8" t="n"/>
      <c r="L123" s="6">
        <f>IF($J123="","",IFERROR(INDEX(Cadence!$B$4:$B$13,MATCH($J123,Cadence!$A$4:$A$13,0)),""))</f>
        <v/>
      </c>
      <c r="M123" s="19">
        <f>IF($J123="","",IFERROR(IF($K123="",$B123,$K123)+INDEX(Cadence!$C$4:$C$13,MATCH($J123,Cadence!$A$4:$A$13,0)),""))</f>
        <v/>
      </c>
      <c r="N123" s="20">
        <f>IF($M123="","",IF($M123&lt;TODAY(),"OVERDUE",IF($M123=TODAY(),"DUE TODAY",IF($M123&lt;=TODAY()+7,"THIS WEEK","LATER"))))</f>
        <v/>
      </c>
      <c r="O123" s="17" t="n"/>
      <c r="P123" s="17" t="n"/>
    </row>
    <row r="124">
      <c r="A124" s="17" t="n"/>
      <c r="B124" s="18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6">
        <f>IF($J124="","",IFERROR(INDEX(Cadence!$B$4:$B$13,MATCH($J124,Cadence!$A$4:$A$13,0)),""))</f>
        <v/>
      </c>
      <c r="M124" s="19">
        <f>IF($J124="","",IFERROR(IF($K124="",$B124,$K124)+INDEX(Cadence!$C$4:$C$13,MATCH($J124,Cadence!$A$4:$A$13,0)),""))</f>
        <v/>
      </c>
      <c r="N124" s="20">
        <f>IF($M124="","",IF($M124&lt;TODAY(),"OVERDUE",IF($M124=TODAY(),"DUE TODAY",IF($M124&lt;=TODAY()+7,"THIS WEEK","LATER"))))</f>
        <v/>
      </c>
      <c r="O124" s="17" t="n"/>
      <c r="P124" s="17" t="n"/>
    </row>
    <row r="125">
      <c r="A125" s="17" t="n"/>
      <c r="B125" s="18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8" t="n"/>
      <c r="L125" s="6">
        <f>IF($J125="","",IFERROR(INDEX(Cadence!$B$4:$B$13,MATCH($J125,Cadence!$A$4:$A$13,0)),""))</f>
        <v/>
      </c>
      <c r="M125" s="19">
        <f>IF($J125="","",IFERROR(IF($K125="",$B125,$K125)+INDEX(Cadence!$C$4:$C$13,MATCH($J125,Cadence!$A$4:$A$13,0)),""))</f>
        <v/>
      </c>
      <c r="N125" s="20">
        <f>IF($M125="","",IF($M125&lt;TODAY(),"OVERDUE",IF($M125=TODAY(),"DUE TODAY",IF($M125&lt;=TODAY()+7,"THIS WEEK","LATER"))))</f>
        <v/>
      </c>
      <c r="O125" s="17" t="n"/>
      <c r="P125" s="17" t="n"/>
    </row>
    <row r="126">
      <c r="A126" s="17" t="n"/>
      <c r="B126" s="18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6">
        <f>IF($J126="","",IFERROR(INDEX(Cadence!$B$4:$B$13,MATCH($J126,Cadence!$A$4:$A$13,0)),""))</f>
        <v/>
      </c>
      <c r="M126" s="19">
        <f>IF($J126="","",IFERROR(IF($K126="",$B126,$K126)+INDEX(Cadence!$C$4:$C$13,MATCH($J126,Cadence!$A$4:$A$13,0)),""))</f>
        <v/>
      </c>
      <c r="N126" s="20">
        <f>IF($M126="","",IF($M126&lt;TODAY(),"OVERDUE",IF($M126=TODAY(),"DUE TODAY",IF($M126&lt;=TODAY()+7,"THIS WEEK","LATER"))))</f>
        <v/>
      </c>
      <c r="O126" s="17" t="n"/>
      <c r="P126" s="17" t="n"/>
    </row>
    <row r="127">
      <c r="A127" s="17" t="n"/>
      <c r="B127" s="18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8" t="n"/>
      <c r="L127" s="6">
        <f>IF($J127="","",IFERROR(INDEX(Cadence!$B$4:$B$13,MATCH($J127,Cadence!$A$4:$A$13,0)),""))</f>
        <v/>
      </c>
      <c r="M127" s="19">
        <f>IF($J127="","",IFERROR(IF($K127="",$B127,$K127)+INDEX(Cadence!$C$4:$C$13,MATCH($J127,Cadence!$A$4:$A$13,0)),""))</f>
        <v/>
      </c>
      <c r="N127" s="20">
        <f>IF($M127="","",IF($M127&lt;TODAY(),"OVERDUE",IF($M127=TODAY(),"DUE TODAY",IF($M127&lt;=TODAY()+7,"THIS WEEK","LATER"))))</f>
        <v/>
      </c>
      <c r="O127" s="17" t="n"/>
      <c r="P127" s="17" t="n"/>
    </row>
    <row r="128">
      <c r="A128" s="17" t="n"/>
      <c r="B128" s="18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6">
        <f>IF($J128="","",IFERROR(INDEX(Cadence!$B$4:$B$13,MATCH($J128,Cadence!$A$4:$A$13,0)),""))</f>
        <v/>
      </c>
      <c r="M128" s="19">
        <f>IF($J128="","",IFERROR(IF($K128="",$B128,$K128)+INDEX(Cadence!$C$4:$C$13,MATCH($J128,Cadence!$A$4:$A$13,0)),""))</f>
        <v/>
      </c>
      <c r="N128" s="20">
        <f>IF($M128="","",IF($M128&lt;TODAY(),"OVERDUE",IF($M128=TODAY(),"DUE TODAY",IF($M128&lt;=TODAY()+7,"THIS WEEK","LATER"))))</f>
        <v/>
      </c>
      <c r="O128" s="17" t="n"/>
      <c r="P128" s="17" t="n"/>
    </row>
    <row r="129">
      <c r="A129" s="17" t="n"/>
      <c r="B129" s="18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8" t="n"/>
      <c r="L129" s="6">
        <f>IF($J129="","",IFERROR(INDEX(Cadence!$B$4:$B$13,MATCH($J129,Cadence!$A$4:$A$13,0)),""))</f>
        <v/>
      </c>
      <c r="M129" s="19">
        <f>IF($J129="","",IFERROR(IF($K129="",$B129,$K129)+INDEX(Cadence!$C$4:$C$13,MATCH($J129,Cadence!$A$4:$A$13,0)),""))</f>
        <v/>
      </c>
      <c r="N129" s="20">
        <f>IF($M129="","",IF($M129&lt;TODAY(),"OVERDUE",IF($M129=TODAY(),"DUE TODAY",IF($M129&lt;=TODAY()+7,"THIS WEEK","LATER"))))</f>
        <v/>
      </c>
      <c r="O129" s="17" t="n"/>
      <c r="P129" s="17" t="n"/>
    </row>
    <row r="130">
      <c r="A130" s="17" t="n"/>
      <c r="B130" s="18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6">
        <f>IF($J130="","",IFERROR(INDEX(Cadence!$B$4:$B$13,MATCH($J130,Cadence!$A$4:$A$13,0)),""))</f>
        <v/>
      </c>
      <c r="M130" s="19">
        <f>IF($J130="","",IFERROR(IF($K130="",$B130,$K130)+INDEX(Cadence!$C$4:$C$13,MATCH($J130,Cadence!$A$4:$A$13,0)),""))</f>
        <v/>
      </c>
      <c r="N130" s="20">
        <f>IF($M130="","",IF($M130&lt;TODAY(),"OVERDUE",IF($M130=TODAY(),"DUE TODAY",IF($M130&lt;=TODAY()+7,"THIS WEEK","LATER"))))</f>
        <v/>
      </c>
      <c r="O130" s="17" t="n"/>
      <c r="P130" s="17" t="n"/>
    </row>
    <row r="131">
      <c r="A131" s="17" t="n"/>
      <c r="B131" s="18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8" t="n"/>
      <c r="L131" s="6">
        <f>IF($J131="","",IFERROR(INDEX(Cadence!$B$4:$B$13,MATCH($J131,Cadence!$A$4:$A$13,0)),""))</f>
        <v/>
      </c>
      <c r="M131" s="19">
        <f>IF($J131="","",IFERROR(IF($K131="",$B131,$K131)+INDEX(Cadence!$C$4:$C$13,MATCH($J131,Cadence!$A$4:$A$13,0)),""))</f>
        <v/>
      </c>
      <c r="N131" s="20">
        <f>IF($M131="","",IF($M131&lt;TODAY(),"OVERDUE",IF($M131=TODAY(),"DUE TODAY",IF($M131&lt;=TODAY()+7,"THIS WEEK","LATER"))))</f>
        <v/>
      </c>
      <c r="O131" s="17" t="n"/>
      <c r="P131" s="17" t="n"/>
    </row>
    <row r="132">
      <c r="A132" s="17" t="n"/>
      <c r="B132" s="18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6">
        <f>IF($J132="","",IFERROR(INDEX(Cadence!$B$4:$B$13,MATCH($J132,Cadence!$A$4:$A$13,0)),""))</f>
        <v/>
      </c>
      <c r="M132" s="19">
        <f>IF($J132="","",IFERROR(IF($K132="",$B132,$K132)+INDEX(Cadence!$C$4:$C$13,MATCH($J132,Cadence!$A$4:$A$13,0)),""))</f>
        <v/>
      </c>
      <c r="N132" s="20">
        <f>IF($M132="","",IF($M132&lt;TODAY(),"OVERDUE",IF($M132=TODAY(),"DUE TODAY",IF($M132&lt;=TODAY()+7,"THIS WEEK","LATER"))))</f>
        <v/>
      </c>
      <c r="O132" s="17" t="n"/>
      <c r="P132" s="17" t="n"/>
    </row>
    <row r="133">
      <c r="A133" s="17" t="n"/>
      <c r="B133" s="18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8" t="n"/>
      <c r="L133" s="6">
        <f>IF($J133="","",IFERROR(INDEX(Cadence!$B$4:$B$13,MATCH($J133,Cadence!$A$4:$A$13,0)),""))</f>
        <v/>
      </c>
      <c r="M133" s="19">
        <f>IF($J133="","",IFERROR(IF($K133="",$B133,$K133)+INDEX(Cadence!$C$4:$C$13,MATCH($J133,Cadence!$A$4:$A$13,0)),""))</f>
        <v/>
      </c>
      <c r="N133" s="20">
        <f>IF($M133="","",IF($M133&lt;TODAY(),"OVERDUE",IF($M133=TODAY(),"DUE TODAY",IF($M133&lt;=TODAY()+7,"THIS WEEK","LATER"))))</f>
        <v/>
      </c>
      <c r="O133" s="17" t="n"/>
      <c r="P133" s="17" t="n"/>
    </row>
    <row r="134">
      <c r="A134" s="17" t="n"/>
      <c r="B134" s="18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6">
        <f>IF($J134="","",IFERROR(INDEX(Cadence!$B$4:$B$13,MATCH($J134,Cadence!$A$4:$A$13,0)),""))</f>
        <v/>
      </c>
      <c r="M134" s="19">
        <f>IF($J134="","",IFERROR(IF($K134="",$B134,$K134)+INDEX(Cadence!$C$4:$C$13,MATCH($J134,Cadence!$A$4:$A$13,0)),""))</f>
        <v/>
      </c>
      <c r="N134" s="20">
        <f>IF($M134="","",IF($M134&lt;TODAY(),"OVERDUE",IF($M134=TODAY(),"DUE TODAY",IF($M134&lt;=TODAY()+7,"THIS WEEK","LATER"))))</f>
        <v/>
      </c>
      <c r="O134" s="17" t="n"/>
      <c r="P134" s="17" t="n"/>
    </row>
    <row r="135">
      <c r="A135" s="17" t="n"/>
      <c r="B135" s="18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8" t="n"/>
      <c r="L135" s="6">
        <f>IF($J135="","",IFERROR(INDEX(Cadence!$B$4:$B$13,MATCH($J135,Cadence!$A$4:$A$13,0)),""))</f>
        <v/>
      </c>
      <c r="M135" s="19">
        <f>IF($J135="","",IFERROR(IF($K135="",$B135,$K135)+INDEX(Cadence!$C$4:$C$13,MATCH($J135,Cadence!$A$4:$A$13,0)),""))</f>
        <v/>
      </c>
      <c r="N135" s="20">
        <f>IF($M135="","",IF($M135&lt;TODAY(),"OVERDUE",IF($M135=TODAY(),"DUE TODAY",IF($M135&lt;=TODAY()+7,"THIS WEEK","LATER"))))</f>
        <v/>
      </c>
      <c r="O135" s="17" t="n"/>
      <c r="P135" s="17" t="n"/>
    </row>
    <row r="136">
      <c r="A136" s="17" t="n"/>
      <c r="B136" s="18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6">
        <f>IF($J136="","",IFERROR(INDEX(Cadence!$B$4:$B$13,MATCH($J136,Cadence!$A$4:$A$13,0)),""))</f>
        <v/>
      </c>
      <c r="M136" s="19">
        <f>IF($J136="","",IFERROR(IF($K136="",$B136,$K136)+INDEX(Cadence!$C$4:$C$13,MATCH($J136,Cadence!$A$4:$A$13,0)),""))</f>
        <v/>
      </c>
      <c r="N136" s="20">
        <f>IF($M136="","",IF($M136&lt;TODAY(),"OVERDUE",IF($M136=TODAY(),"DUE TODAY",IF($M136&lt;=TODAY()+7,"THIS WEEK","LATER"))))</f>
        <v/>
      </c>
      <c r="O136" s="17" t="n"/>
      <c r="P136" s="17" t="n"/>
    </row>
    <row r="137">
      <c r="A137" s="17" t="n"/>
      <c r="B137" s="18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8" t="n"/>
      <c r="L137" s="6">
        <f>IF($J137="","",IFERROR(INDEX(Cadence!$B$4:$B$13,MATCH($J137,Cadence!$A$4:$A$13,0)),""))</f>
        <v/>
      </c>
      <c r="M137" s="19">
        <f>IF($J137="","",IFERROR(IF($K137="",$B137,$K137)+INDEX(Cadence!$C$4:$C$13,MATCH($J137,Cadence!$A$4:$A$13,0)),""))</f>
        <v/>
      </c>
      <c r="N137" s="20">
        <f>IF($M137="","",IF($M137&lt;TODAY(),"OVERDUE",IF($M137=TODAY(),"DUE TODAY",IF($M137&lt;=TODAY()+7,"THIS WEEK","LATER"))))</f>
        <v/>
      </c>
      <c r="O137" s="17" t="n"/>
      <c r="P137" s="17" t="n"/>
    </row>
    <row r="138">
      <c r="A138" s="17" t="n"/>
      <c r="B138" s="18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6">
        <f>IF($J138="","",IFERROR(INDEX(Cadence!$B$4:$B$13,MATCH($J138,Cadence!$A$4:$A$13,0)),""))</f>
        <v/>
      </c>
      <c r="M138" s="19">
        <f>IF($J138="","",IFERROR(IF($K138="",$B138,$K138)+INDEX(Cadence!$C$4:$C$13,MATCH($J138,Cadence!$A$4:$A$13,0)),""))</f>
        <v/>
      </c>
      <c r="N138" s="20">
        <f>IF($M138="","",IF($M138&lt;TODAY(),"OVERDUE",IF($M138=TODAY(),"DUE TODAY",IF($M138&lt;=TODAY()+7,"THIS WEEK","LATER"))))</f>
        <v/>
      </c>
      <c r="O138" s="17" t="n"/>
      <c r="P138" s="17" t="n"/>
    </row>
    <row r="139">
      <c r="A139" s="17" t="n"/>
      <c r="B139" s="18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8" t="n"/>
      <c r="L139" s="6">
        <f>IF($J139="","",IFERROR(INDEX(Cadence!$B$4:$B$13,MATCH($J139,Cadence!$A$4:$A$13,0)),""))</f>
        <v/>
      </c>
      <c r="M139" s="19">
        <f>IF($J139="","",IFERROR(IF($K139="",$B139,$K139)+INDEX(Cadence!$C$4:$C$13,MATCH($J139,Cadence!$A$4:$A$13,0)),""))</f>
        <v/>
      </c>
      <c r="N139" s="20">
        <f>IF($M139="","",IF($M139&lt;TODAY(),"OVERDUE",IF($M139=TODAY(),"DUE TODAY",IF($M139&lt;=TODAY()+7,"THIS WEEK","LATER"))))</f>
        <v/>
      </c>
      <c r="O139" s="17" t="n"/>
      <c r="P139" s="17" t="n"/>
    </row>
    <row r="140">
      <c r="A140" s="17" t="n"/>
      <c r="B140" s="18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6">
        <f>IF($J140="","",IFERROR(INDEX(Cadence!$B$4:$B$13,MATCH($J140,Cadence!$A$4:$A$13,0)),""))</f>
        <v/>
      </c>
      <c r="M140" s="19">
        <f>IF($J140="","",IFERROR(IF($K140="",$B140,$K140)+INDEX(Cadence!$C$4:$C$13,MATCH($J140,Cadence!$A$4:$A$13,0)),""))</f>
        <v/>
      </c>
      <c r="N140" s="20">
        <f>IF($M140="","",IF($M140&lt;TODAY(),"OVERDUE",IF($M140=TODAY(),"DUE TODAY",IF($M140&lt;=TODAY()+7,"THIS WEEK","LATER"))))</f>
        <v/>
      </c>
      <c r="O140" s="17" t="n"/>
      <c r="P140" s="17" t="n"/>
    </row>
    <row r="141">
      <c r="A141" s="17" t="n"/>
      <c r="B141" s="18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8" t="n"/>
      <c r="L141" s="6">
        <f>IF($J141="","",IFERROR(INDEX(Cadence!$B$4:$B$13,MATCH($J141,Cadence!$A$4:$A$13,0)),""))</f>
        <v/>
      </c>
      <c r="M141" s="19">
        <f>IF($J141="","",IFERROR(IF($K141="",$B141,$K141)+INDEX(Cadence!$C$4:$C$13,MATCH($J141,Cadence!$A$4:$A$13,0)),""))</f>
        <v/>
      </c>
      <c r="N141" s="20">
        <f>IF($M141="","",IF($M141&lt;TODAY(),"OVERDUE",IF($M141=TODAY(),"DUE TODAY",IF($M141&lt;=TODAY()+7,"THIS WEEK","LATER"))))</f>
        <v/>
      </c>
      <c r="O141" s="17" t="n"/>
      <c r="P141" s="17" t="n"/>
    </row>
    <row r="142">
      <c r="A142" s="17" t="n"/>
      <c r="B142" s="18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6">
        <f>IF($J142="","",IFERROR(INDEX(Cadence!$B$4:$B$13,MATCH($J142,Cadence!$A$4:$A$13,0)),""))</f>
        <v/>
      </c>
      <c r="M142" s="19">
        <f>IF($J142="","",IFERROR(IF($K142="",$B142,$K142)+INDEX(Cadence!$C$4:$C$13,MATCH($J142,Cadence!$A$4:$A$13,0)),""))</f>
        <v/>
      </c>
      <c r="N142" s="20">
        <f>IF($M142="","",IF($M142&lt;TODAY(),"OVERDUE",IF($M142=TODAY(),"DUE TODAY",IF($M142&lt;=TODAY()+7,"THIS WEEK","LATER"))))</f>
        <v/>
      </c>
      <c r="O142" s="17" t="n"/>
      <c r="P142" s="17" t="n"/>
    </row>
    <row r="143">
      <c r="A143" s="17" t="n"/>
      <c r="B143" s="18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8" t="n"/>
      <c r="L143" s="6">
        <f>IF($J143="","",IFERROR(INDEX(Cadence!$B$4:$B$13,MATCH($J143,Cadence!$A$4:$A$13,0)),""))</f>
        <v/>
      </c>
      <c r="M143" s="19">
        <f>IF($J143="","",IFERROR(IF($K143="",$B143,$K143)+INDEX(Cadence!$C$4:$C$13,MATCH($J143,Cadence!$A$4:$A$13,0)),""))</f>
        <v/>
      </c>
      <c r="N143" s="20">
        <f>IF($M143="","",IF($M143&lt;TODAY(),"OVERDUE",IF($M143=TODAY(),"DUE TODAY",IF($M143&lt;=TODAY()+7,"THIS WEEK","LATER"))))</f>
        <v/>
      </c>
      <c r="O143" s="17" t="n"/>
      <c r="P143" s="17" t="n"/>
    </row>
    <row r="144">
      <c r="A144" s="17" t="n"/>
      <c r="B144" s="18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6">
        <f>IF($J144="","",IFERROR(INDEX(Cadence!$B$4:$B$13,MATCH($J144,Cadence!$A$4:$A$13,0)),""))</f>
        <v/>
      </c>
      <c r="M144" s="19">
        <f>IF($J144="","",IFERROR(IF($K144="",$B144,$K144)+INDEX(Cadence!$C$4:$C$13,MATCH($J144,Cadence!$A$4:$A$13,0)),""))</f>
        <v/>
      </c>
      <c r="N144" s="20">
        <f>IF($M144="","",IF($M144&lt;TODAY(),"OVERDUE",IF($M144=TODAY(),"DUE TODAY",IF($M144&lt;=TODAY()+7,"THIS WEEK","LATER"))))</f>
        <v/>
      </c>
      <c r="O144" s="17" t="n"/>
      <c r="P144" s="17" t="n"/>
    </row>
    <row r="145">
      <c r="A145" s="17" t="n"/>
      <c r="B145" s="18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8" t="n"/>
      <c r="L145" s="6">
        <f>IF($J145="","",IFERROR(INDEX(Cadence!$B$4:$B$13,MATCH($J145,Cadence!$A$4:$A$13,0)),""))</f>
        <v/>
      </c>
      <c r="M145" s="19">
        <f>IF($J145="","",IFERROR(IF($K145="",$B145,$K145)+INDEX(Cadence!$C$4:$C$13,MATCH($J145,Cadence!$A$4:$A$13,0)),""))</f>
        <v/>
      </c>
      <c r="N145" s="20">
        <f>IF($M145="","",IF($M145&lt;TODAY(),"OVERDUE",IF($M145=TODAY(),"DUE TODAY",IF($M145&lt;=TODAY()+7,"THIS WEEK","LATER"))))</f>
        <v/>
      </c>
      <c r="O145" s="17" t="n"/>
      <c r="P145" s="17" t="n"/>
    </row>
    <row r="146">
      <c r="A146" s="17" t="n"/>
      <c r="B146" s="18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6">
        <f>IF($J146="","",IFERROR(INDEX(Cadence!$B$4:$B$13,MATCH($J146,Cadence!$A$4:$A$13,0)),""))</f>
        <v/>
      </c>
      <c r="M146" s="19">
        <f>IF($J146="","",IFERROR(IF($K146="",$B146,$K146)+INDEX(Cadence!$C$4:$C$13,MATCH($J146,Cadence!$A$4:$A$13,0)),""))</f>
        <v/>
      </c>
      <c r="N146" s="20">
        <f>IF($M146="","",IF($M146&lt;TODAY(),"OVERDUE",IF($M146=TODAY(),"DUE TODAY",IF($M146&lt;=TODAY()+7,"THIS WEEK","LATER"))))</f>
        <v/>
      </c>
      <c r="O146" s="17" t="n"/>
      <c r="P146" s="17" t="n"/>
    </row>
    <row r="147">
      <c r="A147" s="17" t="n"/>
      <c r="B147" s="18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8" t="n"/>
      <c r="L147" s="6">
        <f>IF($J147="","",IFERROR(INDEX(Cadence!$B$4:$B$13,MATCH($J147,Cadence!$A$4:$A$13,0)),""))</f>
        <v/>
      </c>
      <c r="M147" s="19">
        <f>IF($J147="","",IFERROR(IF($K147="",$B147,$K147)+INDEX(Cadence!$C$4:$C$13,MATCH($J147,Cadence!$A$4:$A$13,0)),""))</f>
        <v/>
      </c>
      <c r="N147" s="20">
        <f>IF($M147="","",IF($M147&lt;TODAY(),"OVERDUE",IF($M147=TODAY(),"DUE TODAY",IF($M147&lt;=TODAY()+7,"THIS WEEK","LATER"))))</f>
        <v/>
      </c>
      <c r="O147" s="17" t="n"/>
      <c r="P147" s="17" t="n"/>
    </row>
    <row r="148">
      <c r="A148" s="17" t="n"/>
      <c r="B148" s="18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6">
        <f>IF($J148="","",IFERROR(INDEX(Cadence!$B$4:$B$13,MATCH($J148,Cadence!$A$4:$A$13,0)),""))</f>
        <v/>
      </c>
      <c r="M148" s="19">
        <f>IF($J148="","",IFERROR(IF($K148="",$B148,$K148)+INDEX(Cadence!$C$4:$C$13,MATCH($J148,Cadence!$A$4:$A$13,0)),""))</f>
        <v/>
      </c>
      <c r="N148" s="20">
        <f>IF($M148="","",IF($M148&lt;TODAY(),"OVERDUE",IF($M148=TODAY(),"DUE TODAY",IF($M148&lt;=TODAY()+7,"THIS WEEK","LATER"))))</f>
        <v/>
      </c>
      <c r="O148" s="17" t="n"/>
      <c r="P148" s="17" t="n"/>
    </row>
    <row r="149">
      <c r="A149" s="17" t="n"/>
      <c r="B149" s="18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8" t="n"/>
      <c r="L149" s="6">
        <f>IF($J149="","",IFERROR(INDEX(Cadence!$B$4:$B$13,MATCH($J149,Cadence!$A$4:$A$13,0)),""))</f>
        <v/>
      </c>
      <c r="M149" s="19">
        <f>IF($J149="","",IFERROR(IF($K149="",$B149,$K149)+INDEX(Cadence!$C$4:$C$13,MATCH($J149,Cadence!$A$4:$A$13,0)),""))</f>
        <v/>
      </c>
      <c r="N149" s="20">
        <f>IF($M149="","",IF($M149&lt;TODAY(),"OVERDUE",IF($M149=TODAY(),"DUE TODAY",IF($M149&lt;=TODAY()+7,"THIS WEEK","LATER"))))</f>
        <v/>
      </c>
      <c r="O149" s="17" t="n"/>
      <c r="P149" s="17" t="n"/>
    </row>
    <row r="150">
      <c r="A150" s="17" t="n"/>
      <c r="B150" s="18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6">
        <f>IF($J150="","",IFERROR(INDEX(Cadence!$B$4:$B$13,MATCH($J150,Cadence!$A$4:$A$13,0)),""))</f>
        <v/>
      </c>
      <c r="M150" s="19">
        <f>IF($J150="","",IFERROR(IF($K150="",$B150,$K150)+INDEX(Cadence!$C$4:$C$13,MATCH($J150,Cadence!$A$4:$A$13,0)),""))</f>
        <v/>
      </c>
      <c r="N150" s="20">
        <f>IF($M150="","",IF($M150&lt;TODAY(),"OVERDUE",IF($M150=TODAY(),"DUE TODAY",IF($M150&lt;=TODAY()+7,"THIS WEEK","LATER"))))</f>
        <v/>
      </c>
      <c r="O150" s="17" t="n"/>
      <c r="P150" s="17" t="n"/>
    </row>
    <row r="151">
      <c r="A151" s="17" t="n"/>
      <c r="B151" s="18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8" t="n"/>
      <c r="L151" s="6">
        <f>IF($J151="","",IFERROR(INDEX(Cadence!$B$4:$B$13,MATCH($J151,Cadence!$A$4:$A$13,0)),""))</f>
        <v/>
      </c>
      <c r="M151" s="19">
        <f>IF($J151="","",IFERROR(IF($K151="",$B151,$K151)+INDEX(Cadence!$C$4:$C$13,MATCH($J151,Cadence!$A$4:$A$13,0)),""))</f>
        <v/>
      </c>
      <c r="N151" s="20">
        <f>IF($M151="","",IF($M151&lt;TODAY(),"OVERDUE",IF($M151=TODAY(),"DUE TODAY",IF($M151&lt;=TODAY()+7,"THIS WEEK","LATER"))))</f>
        <v/>
      </c>
      <c r="O151" s="17" t="n"/>
      <c r="P151" s="17" t="n"/>
    </row>
    <row r="152">
      <c r="A152" s="17" t="n"/>
      <c r="B152" s="18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6">
        <f>IF($J152="","",IFERROR(INDEX(Cadence!$B$4:$B$13,MATCH($J152,Cadence!$A$4:$A$13,0)),""))</f>
        <v/>
      </c>
      <c r="M152" s="19">
        <f>IF($J152="","",IFERROR(IF($K152="",$B152,$K152)+INDEX(Cadence!$C$4:$C$13,MATCH($J152,Cadence!$A$4:$A$13,0)),""))</f>
        <v/>
      </c>
      <c r="N152" s="20">
        <f>IF($M152="","",IF($M152&lt;TODAY(),"OVERDUE",IF($M152=TODAY(),"DUE TODAY",IF($M152&lt;=TODAY()+7,"THIS WEEK","LATER"))))</f>
        <v/>
      </c>
      <c r="O152" s="17" t="n"/>
      <c r="P152" s="17" t="n"/>
    </row>
    <row r="153">
      <c r="A153" s="17" t="n"/>
      <c r="B153" s="18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8" t="n"/>
      <c r="L153" s="6">
        <f>IF($J153="","",IFERROR(INDEX(Cadence!$B$4:$B$13,MATCH($J153,Cadence!$A$4:$A$13,0)),""))</f>
        <v/>
      </c>
      <c r="M153" s="19">
        <f>IF($J153="","",IFERROR(IF($K153="",$B153,$K153)+INDEX(Cadence!$C$4:$C$13,MATCH($J153,Cadence!$A$4:$A$13,0)),""))</f>
        <v/>
      </c>
      <c r="N153" s="20">
        <f>IF($M153="","",IF($M153&lt;TODAY(),"OVERDUE",IF($M153=TODAY(),"DUE TODAY",IF($M153&lt;=TODAY()+7,"THIS WEEK","LATER"))))</f>
        <v/>
      </c>
      <c r="O153" s="17" t="n"/>
      <c r="P153" s="17" t="n"/>
    </row>
    <row r="154">
      <c r="A154" s="17" t="n"/>
      <c r="B154" s="18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6">
        <f>IF($J154="","",IFERROR(INDEX(Cadence!$B$4:$B$13,MATCH($J154,Cadence!$A$4:$A$13,0)),""))</f>
        <v/>
      </c>
      <c r="M154" s="19">
        <f>IF($J154="","",IFERROR(IF($K154="",$B154,$K154)+INDEX(Cadence!$C$4:$C$13,MATCH($J154,Cadence!$A$4:$A$13,0)),""))</f>
        <v/>
      </c>
      <c r="N154" s="20">
        <f>IF($M154="","",IF($M154&lt;TODAY(),"OVERDUE",IF($M154=TODAY(),"DUE TODAY",IF($M154&lt;=TODAY()+7,"THIS WEEK","LATER"))))</f>
        <v/>
      </c>
      <c r="O154" s="17" t="n"/>
      <c r="P154" s="17" t="n"/>
    </row>
    <row r="155">
      <c r="A155" s="17" t="n"/>
      <c r="B155" s="18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8" t="n"/>
      <c r="L155" s="6">
        <f>IF($J155="","",IFERROR(INDEX(Cadence!$B$4:$B$13,MATCH($J155,Cadence!$A$4:$A$13,0)),""))</f>
        <v/>
      </c>
      <c r="M155" s="19">
        <f>IF($J155="","",IFERROR(IF($K155="",$B155,$K155)+INDEX(Cadence!$C$4:$C$13,MATCH($J155,Cadence!$A$4:$A$13,0)),""))</f>
        <v/>
      </c>
      <c r="N155" s="20">
        <f>IF($M155="","",IF($M155&lt;TODAY(),"OVERDUE",IF($M155=TODAY(),"DUE TODAY",IF($M155&lt;=TODAY()+7,"THIS WEEK","LATER"))))</f>
        <v/>
      </c>
      <c r="O155" s="17" t="n"/>
      <c r="P155" s="17" t="n"/>
    </row>
    <row r="156">
      <c r="A156" s="17" t="n"/>
      <c r="B156" s="18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6">
        <f>IF($J156="","",IFERROR(INDEX(Cadence!$B$4:$B$13,MATCH($J156,Cadence!$A$4:$A$13,0)),""))</f>
        <v/>
      </c>
      <c r="M156" s="19">
        <f>IF($J156="","",IFERROR(IF($K156="",$B156,$K156)+INDEX(Cadence!$C$4:$C$13,MATCH($J156,Cadence!$A$4:$A$13,0)),""))</f>
        <v/>
      </c>
      <c r="N156" s="20">
        <f>IF($M156="","",IF($M156&lt;TODAY(),"OVERDUE",IF($M156=TODAY(),"DUE TODAY",IF($M156&lt;=TODAY()+7,"THIS WEEK","LATER"))))</f>
        <v/>
      </c>
      <c r="O156" s="17" t="n"/>
      <c r="P156" s="17" t="n"/>
    </row>
    <row r="157">
      <c r="A157" s="17" t="n"/>
      <c r="B157" s="18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8" t="n"/>
      <c r="L157" s="6">
        <f>IF($J157="","",IFERROR(INDEX(Cadence!$B$4:$B$13,MATCH($J157,Cadence!$A$4:$A$13,0)),""))</f>
        <v/>
      </c>
      <c r="M157" s="19">
        <f>IF($J157="","",IFERROR(IF($K157="",$B157,$K157)+INDEX(Cadence!$C$4:$C$13,MATCH($J157,Cadence!$A$4:$A$13,0)),""))</f>
        <v/>
      </c>
      <c r="N157" s="20">
        <f>IF($M157="","",IF($M157&lt;TODAY(),"OVERDUE",IF($M157=TODAY(),"DUE TODAY",IF($M157&lt;=TODAY()+7,"THIS WEEK","LATER"))))</f>
        <v/>
      </c>
      <c r="O157" s="17" t="n"/>
      <c r="P157" s="17" t="n"/>
    </row>
    <row r="158">
      <c r="A158" s="17" t="n"/>
      <c r="B158" s="18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6">
        <f>IF($J158="","",IFERROR(INDEX(Cadence!$B$4:$B$13,MATCH($J158,Cadence!$A$4:$A$13,0)),""))</f>
        <v/>
      </c>
      <c r="M158" s="19">
        <f>IF($J158="","",IFERROR(IF($K158="",$B158,$K158)+INDEX(Cadence!$C$4:$C$13,MATCH($J158,Cadence!$A$4:$A$13,0)),""))</f>
        <v/>
      </c>
      <c r="N158" s="20">
        <f>IF($M158="","",IF($M158&lt;TODAY(),"OVERDUE",IF($M158=TODAY(),"DUE TODAY",IF($M158&lt;=TODAY()+7,"THIS WEEK","LATER"))))</f>
        <v/>
      </c>
      <c r="O158" s="17" t="n"/>
      <c r="P158" s="17" t="n"/>
    </row>
    <row r="159">
      <c r="A159" s="17" t="n"/>
      <c r="B159" s="18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8" t="n"/>
      <c r="L159" s="6">
        <f>IF($J159="","",IFERROR(INDEX(Cadence!$B$4:$B$13,MATCH($J159,Cadence!$A$4:$A$13,0)),""))</f>
        <v/>
      </c>
      <c r="M159" s="19">
        <f>IF($J159="","",IFERROR(IF($K159="",$B159,$K159)+INDEX(Cadence!$C$4:$C$13,MATCH($J159,Cadence!$A$4:$A$13,0)),""))</f>
        <v/>
      </c>
      <c r="N159" s="20">
        <f>IF($M159="","",IF($M159&lt;TODAY(),"OVERDUE",IF($M159=TODAY(),"DUE TODAY",IF($M159&lt;=TODAY()+7,"THIS WEEK","LATER"))))</f>
        <v/>
      </c>
      <c r="O159" s="17" t="n"/>
      <c r="P159" s="17" t="n"/>
    </row>
    <row r="160">
      <c r="A160" s="17" t="n"/>
      <c r="B160" s="18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6">
        <f>IF($J160="","",IFERROR(INDEX(Cadence!$B$4:$B$13,MATCH($J160,Cadence!$A$4:$A$13,0)),""))</f>
        <v/>
      </c>
      <c r="M160" s="19">
        <f>IF($J160="","",IFERROR(IF($K160="",$B160,$K160)+INDEX(Cadence!$C$4:$C$13,MATCH($J160,Cadence!$A$4:$A$13,0)),""))</f>
        <v/>
      </c>
      <c r="N160" s="20">
        <f>IF($M160="","",IF($M160&lt;TODAY(),"OVERDUE",IF($M160=TODAY(),"DUE TODAY",IF($M160&lt;=TODAY()+7,"THIS WEEK","LATER"))))</f>
        <v/>
      </c>
      <c r="O160" s="17" t="n"/>
      <c r="P160" s="17" t="n"/>
    </row>
    <row r="161">
      <c r="A161" s="17" t="n"/>
      <c r="B161" s="18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8" t="n"/>
      <c r="L161" s="6">
        <f>IF($J161="","",IFERROR(INDEX(Cadence!$B$4:$B$13,MATCH($J161,Cadence!$A$4:$A$13,0)),""))</f>
        <v/>
      </c>
      <c r="M161" s="19">
        <f>IF($J161="","",IFERROR(IF($K161="",$B161,$K161)+INDEX(Cadence!$C$4:$C$13,MATCH($J161,Cadence!$A$4:$A$13,0)),""))</f>
        <v/>
      </c>
      <c r="N161" s="20">
        <f>IF($M161="","",IF($M161&lt;TODAY(),"OVERDUE",IF($M161=TODAY(),"DUE TODAY",IF($M161&lt;=TODAY()+7,"THIS WEEK","LATER"))))</f>
        <v/>
      </c>
      <c r="O161" s="17" t="n"/>
      <c r="P161" s="17" t="n"/>
    </row>
    <row r="162">
      <c r="A162" s="17" t="n"/>
      <c r="B162" s="18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6">
        <f>IF($J162="","",IFERROR(INDEX(Cadence!$B$4:$B$13,MATCH($J162,Cadence!$A$4:$A$13,0)),""))</f>
        <v/>
      </c>
      <c r="M162" s="19">
        <f>IF($J162="","",IFERROR(IF($K162="",$B162,$K162)+INDEX(Cadence!$C$4:$C$13,MATCH($J162,Cadence!$A$4:$A$13,0)),""))</f>
        <v/>
      </c>
      <c r="N162" s="20">
        <f>IF($M162="","",IF($M162&lt;TODAY(),"OVERDUE",IF($M162=TODAY(),"DUE TODAY",IF($M162&lt;=TODAY()+7,"THIS WEEK","LATER"))))</f>
        <v/>
      </c>
      <c r="O162" s="17" t="n"/>
      <c r="P162" s="17" t="n"/>
    </row>
    <row r="163">
      <c r="A163" s="17" t="n"/>
      <c r="B163" s="18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8" t="n"/>
      <c r="L163" s="6">
        <f>IF($J163="","",IFERROR(INDEX(Cadence!$B$4:$B$13,MATCH($J163,Cadence!$A$4:$A$13,0)),""))</f>
        <v/>
      </c>
      <c r="M163" s="19">
        <f>IF($J163="","",IFERROR(IF($K163="",$B163,$K163)+INDEX(Cadence!$C$4:$C$13,MATCH($J163,Cadence!$A$4:$A$13,0)),""))</f>
        <v/>
      </c>
      <c r="N163" s="20">
        <f>IF($M163="","",IF($M163&lt;TODAY(),"OVERDUE",IF($M163=TODAY(),"DUE TODAY",IF($M163&lt;=TODAY()+7,"THIS WEEK","LATER"))))</f>
        <v/>
      </c>
      <c r="O163" s="17" t="n"/>
      <c r="P163" s="17" t="n"/>
    </row>
    <row r="164">
      <c r="A164" s="17" t="n"/>
      <c r="B164" s="18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6">
        <f>IF($J164="","",IFERROR(INDEX(Cadence!$B$4:$B$13,MATCH($J164,Cadence!$A$4:$A$13,0)),""))</f>
        <v/>
      </c>
      <c r="M164" s="19">
        <f>IF($J164="","",IFERROR(IF($K164="",$B164,$K164)+INDEX(Cadence!$C$4:$C$13,MATCH($J164,Cadence!$A$4:$A$13,0)),""))</f>
        <v/>
      </c>
      <c r="N164" s="20">
        <f>IF($M164="","",IF($M164&lt;TODAY(),"OVERDUE",IF($M164=TODAY(),"DUE TODAY",IF($M164&lt;=TODAY()+7,"THIS WEEK","LATER"))))</f>
        <v/>
      </c>
      <c r="O164" s="17" t="n"/>
      <c r="P164" s="17" t="n"/>
    </row>
    <row r="165">
      <c r="A165" s="17" t="n"/>
      <c r="B165" s="18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8" t="n"/>
      <c r="L165" s="6">
        <f>IF($J165="","",IFERROR(INDEX(Cadence!$B$4:$B$13,MATCH($J165,Cadence!$A$4:$A$13,0)),""))</f>
        <v/>
      </c>
      <c r="M165" s="19">
        <f>IF($J165="","",IFERROR(IF($K165="",$B165,$K165)+INDEX(Cadence!$C$4:$C$13,MATCH($J165,Cadence!$A$4:$A$13,0)),""))</f>
        <v/>
      </c>
      <c r="N165" s="20">
        <f>IF($M165="","",IF($M165&lt;TODAY(),"OVERDUE",IF($M165=TODAY(),"DUE TODAY",IF($M165&lt;=TODAY()+7,"THIS WEEK","LATER"))))</f>
        <v/>
      </c>
      <c r="O165" s="17" t="n"/>
      <c r="P165" s="17" t="n"/>
    </row>
    <row r="166">
      <c r="A166" s="17" t="n"/>
      <c r="B166" s="18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6">
        <f>IF($J166="","",IFERROR(INDEX(Cadence!$B$4:$B$13,MATCH($J166,Cadence!$A$4:$A$13,0)),""))</f>
        <v/>
      </c>
      <c r="M166" s="19">
        <f>IF($J166="","",IFERROR(IF($K166="",$B166,$K166)+INDEX(Cadence!$C$4:$C$13,MATCH($J166,Cadence!$A$4:$A$13,0)),""))</f>
        <v/>
      </c>
      <c r="N166" s="20">
        <f>IF($M166="","",IF($M166&lt;TODAY(),"OVERDUE",IF($M166=TODAY(),"DUE TODAY",IF($M166&lt;=TODAY()+7,"THIS WEEK","LATER"))))</f>
        <v/>
      </c>
      <c r="O166" s="17" t="n"/>
      <c r="P166" s="17" t="n"/>
    </row>
    <row r="167">
      <c r="A167" s="17" t="n"/>
      <c r="B167" s="18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8" t="n"/>
      <c r="L167" s="6">
        <f>IF($J167="","",IFERROR(INDEX(Cadence!$B$4:$B$13,MATCH($J167,Cadence!$A$4:$A$13,0)),""))</f>
        <v/>
      </c>
      <c r="M167" s="19">
        <f>IF($J167="","",IFERROR(IF($K167="",$B167,$K167)+INDEX(Cadence!$C$4:$C$13,MATCH($J167,Cadence!$A$4:$A$13,0)),""))</f>
        <v/>
      </c>
      <c r="N167" s="20">
        <f>IF($M167="","",IF($M167&lt;TODAY(),"OVERDUE",IF($M167=TODAY(),"DUE TODAY",IF($M167&lt;=TODAY()+7,"THIS WEEK","LATER"))))</f>
        <v/>
      </c>
      <c r="O167" s="17" t="n"/>
      <c r="P167" s="17" t="n"/>
    </row>
    <row r="168">
      <c r="A168" s="17" t="n"/>
      <c r="B168" s="18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6">
        <f>IF($J168="","",IFERROR(INDEX(Cadence!$B$4:$B$13,MATCH($J168,Cadence!$A$4:$A$13,0)),""))</f>
        <v/>
      </c>
      <c r="M168" s="19">
        <f>IF($J168="","",IFERROR(IF($K168="",$B168,$K168)+INDEX(Cadence!$C$4:$C$13,MATCH($J168,Cadence!$A$4:$A$13,0)),""))</f>
        <v/>
      </c>
      <c r="N168" s="20">
        <f>IF($M168="","",IF($M168&lt;TODAY(),"OVERDUE",IF($M168=TODAY(),"DUE TODAY",IF($M168&lt;=TODAY()+7,"THIS WEEK","LATER"))))</f>
        <v/>
      </c>
      <c r="O168" s="17" t="n"/>
      <c r="P168" s="17" t="n"/>
    </row>
    <row r="169">
      <c r="A169" s="17" t="n"/>
      <c r="B169" s="18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8" t="n"/>
      <c r="L169" s="6">
        <f>IF($J169="","",IFERROR(INDEX(Cadence!$B$4:$B$13,MATCH($J169,Cadence!$A$4:$A$13,0)),""))</f>
        <v/>
      </c>
      <c r="M169" s="19">
        <f>IF($J169="","",IFERROR(IF($K169="",$B169,$K169)+INDEX(Cadence!$C$4:$C$13,MATCH($J169,Cadence!$A$4:$A$13,0)),""))</f>
        <v/>
      </c>
      <c r="N169" s="20">
        <f>IF($M169="","",IF($M169&lt;TODAY(),"OVERDUE",IF($M169=TODAY(),"DUE TODAY",IF($M169&lt;=TODAY()+7,"THIS WEEK","LATER"))))</f>
        <v/>
      </c>
      <c r="O169" s="17" t="n"/>
      <c r="P169" s="17" t="n"/>
    </row>
    <row r="170">
      <c r="A170" s="17" t="n"/>
      <c r="B170" s="18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6">
        <f>IF($J170="","",IFERROR(INDEX(Cadence!$B$4:$B$13,MATCH($J170,Cadence!$A$4:$A$13,0)),""))</f>
        <v/>
      </c>
      <c r="M170" s="19">
        <f>IF($J170="","",IFERROR(IF($K170="",$B170,$K170)+INDEX(Cadence!$C$4:$C$13,MATCH($J170,Cadence!$A$4:$A$13,0)),""))</f>
        <v/>
      </c>
      <c r="N170" s="20">
        <f>IF($M170="","",IF($M170&lt;TODAY(),"OVERDUE",IF($M170=TODAY(),"DUE TODAY",IF($M170&lt;=TODAY()+7,"THIS WEEK","LATER"))))</f>
        <v/>
      </c>
      <c r="O170" s="17" t="n"/>
      <c r="P170" s="17" t="n"/>
    </row>
    <row r="171">
      <c r="A171" s="17" t="n"/>
      <c r="B171" s="18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8" t="n"/>
      <c r="L171" s="6">
        <f>IF($J171="","",IFERROR(INDEX(Cadence!$B$4:$B$13,MATCH($J171,Cadence!$A$4:$A$13,0)),""))</f>
        <v/>
      </c>
      <c r="M171" s="19">
        <f>IF($J171="","",IFERROR(IF($K171="",$B171,$K171)+INDEX(Cadence!$C$4:$C$13,MATCH($J171,Cadence!$A$4:$A$13,0)),""))</f>
        <v/>
      </c>
      <c r="N171" s="20">
        <f>IF($M171="","",IF($M171&lt;TODAY(),"OVERDUE",IF($M171=TODAY(),"DUE TODAY",IF($M171&lt;=TODAY()+7,"THIS WEEK","LATER"))))</f>
        <v/>
      </c>
      <c r="O171" s="17" t="n"/>
      <c r="P171" s="17" t="n"/>
    </row>
    <row r="172">
      <c r="A172" s="17" t="n"/>
      <c r="B172" s="18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6">
        <f>IF($J172="","",IFERROR(INDEX(Cadence!$B$4:$B$13,MATCH($J172,Cadence!$A$4:$A$13,0)),""))</f>
        <v/>
      </c>
      <c r="M172" s="19">
        <f>IF($J172="","",IFERROR(IF($K172="",$B172,$K172)+INDEX(Cadence!$C$4:$C$13,MATCH($J172,Cadence!$A$4:$A$13,0)),""))</f>
        <v/>
      </c>
      <c r="N172" s="20">
        <f>IF($M172="","",IF($M172&lt;TODAY(),"OVERDUE",IF($M172=TODAY(),"DUE TODAY",IF($M172&lt;=TODAY()+7,"THIS WEEK","LATER"))))</f>
        <v/>
      </c>
      <c r="O172" s="17" t="n"/>
      <c r="P172" s="17" t="n"/>
    </row>
    <row r="173">
      <c r="A173" s="17" t="n"/>
      <c r="B173" s="18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8" t="n"/>
      <c r="L173" s="6">
        <f>IF($J173="","",IFERROR(INDEX(Cadence!$B$4:$B$13,MATCH($J173,Cadence!$A$4:$A$13,0)),""))</f>
        <v/>
      </c>
      <c r="M173" s="19">
        <f>IF($J173="","",IFERROR(IF($K173="",$B173,$K173)+INDEX(Cadence!$C$4:$C$13,MATCH($J173,Cadence!$A$4:$A$13,0)),""))</f>
        <v/>
      </c>
      <c r="N173" s="20">
        <f>IF($M173="","",IF($M173&lt;TODAY(),"OVERDUE",IF($M173=TODAY(),"DUE TODAY",IF($M173&lt;=TODAY()+7,"THIS WEEK","LATER"))))</f>
        <v/>
      </c>
      <c r="O173" s="17" t="n"/>
      <c r="P173" s="17" t="n"/>
    </row>
    <row r="174">
      <c r="A174" s="17" t="n"/>
      <c r="B174" s="18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6">
        <f>IF($J174="","",IFERROR(INDEX(Cadence!$B$4:$B$13,MATCH($J174,Cadence!$A$4:$A$13,0)),""))</f>
        <v/>
      </c>
      <c r="M174" s="19">
        <f>IF($J174="","",IFERROR(IF($K174="",$B174,$K174)+INDEX(Cadence!$C$4:$C$13,MATCH($J174,Cadence!$A$4:$A$13,0)),""))</f>
        <v/>
      </c>
      <c r="N174" s="20">
        <f>IF($M174="","",IF($M174&lt;TODAY(),"OVERDUE",IF($M174=TODAY(),"DUE TODAY",IF($M174&lt;=TODAY()+7,"THIS WEEK","LATER"))))</f>
        <v/>
      </c>
      <c r="O174" s="17" t="n"/>
      <c r="P174" s="17" t="n"/>
    </row>
    <row r="175">
      <c r="A175" s="17" t="n"/>
      <c r="B175" s="18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8" t="n"/>
      <c r="L175" s="6">
        <f>IF($J175="","",IFERROR(INDEX(Cadence!$B$4:$B$13,MATCH($J175,Cadence!$A$4:$A$13,0)),""))</f>
        <v/>
      </c>
      <c r="M175" s="19">
        <f>IF($J175="","",IFERROR(IF($K175="",$B175,$K175)+INDEX(Cadence!$C$4:$C$13,MATCH($J175,Cadence!$A$4:$A$13,0)),""))</f>
        <v/>
      </c>
      <c r="N175" s="20">
        <f>IF($M175="","",IF($M175&lt;TODAY(),"OVERDUE",IF($M175=TODAY(),"DUE TODAY",IF($M175&lt;=TODAY()+7,"THIS WEEK","LATER"))))</f>
        <v/>
      </c>
      <c r="O175" s="17" t="n"/>
      <c r="P175" s="17" t="n"/>
    </row>
    <row r="176">
      <c r="A176" s="17" t="n"/>
      <c r="B176" s="18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6">
        <f>IF($J176="","",IFERROR(INDEX(Cadence!$B$4:$B$13,MATCH($J176,Cadence!$A$4:$A$13,0)),""))</f>
        <v/>
      </c>
      <c r="M176" s="19">
        <f>IF($J176="","",IFERROR(IF($K176="",$B176,$K176)+INDEX(Cadence!$C$4:$C$13,MATCH($J176,Cadence!$A$4:$A$13,0)),""))</f>
        <v/>
      </c>
      <c r="N176" s="20">
        <f>IF($M176="","",IF($M176&lt;TODAY(),"OVERDUE",IF($M176=TODAY(),"DUE TODAY",IF($M176&lt;=TODAY()+7,"THIS WEEK","LATER"))))</f>
        <v/>
      </c>
      <c r="O176" s="17" t="n"/>
      <c r="P176" s="17" t="n"/>
    </row>
    <row r="177">
      <c r="A177" s="17" t="n"/>
      <c r="B177" s="18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8" t="n"/>
      <c r="L177" s="6">
        <f>IF($J177="","",IFERROR(INDEX(Cadence!$B$4:$B$13,MATCH($J177,Cadence!$A$4:$A$13,0)),""))</f>
        <v/>
      </c>
      <c r="M177" s="19">
        <f>IF($J177="","",IFERROR(IF($K177="",$B177,$K177)+INDEX(Cadence!$C$4:$C$13,MATCH($J177,Cadence!$A$4:$A$13,0)),""))</f>
        <v/>
      </c>
      <c r="N177" s="20">
        <f>IF($M177="","",IF($M177&lt;TODAY(),"OVERDUE",IF($M177=TODAY(),"DUE TODAY",IF($M177&lt;=TODAY()+7,"THIS WEEK","LATER"))))</f>
        <v/>
      </c>
      <c r="O177" s="17" t="n"/>
      <c r="P177" s="17" t="n"/>
    </row>
    <row r="178">
      <c r="A178" s="17" t="n"/>
      <c r="B178" s="18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6">
        <f>IF($J178="","",IFERROR(INDEX(Cadence!$B$4:$B$13,MATCH($J178,Cadence!$A$4:$A$13,0)),""))</f>
        <v/>
      </c>
      <c r="M178" s="19">
        <f>IF($J178="","",IFERROR(IF($K178="",$B178,$K178)+INDEX(Cadence!$C$4:$C$13,MATCH($J178,Cadence!$A$4:$A$13,0)),""))</f>
        <v/>
      </c>
      <c r="N178" s="20">
        <f>IF($M178="","",IF($M178&lt;TODAY(),"OVERDUE",IF($M178=TODAY(),"DUE TODAY",IF($M178&lt;=TODAY()+7,"THIS WEEK","LATER"))))</f>
        <v/>
      </c>
      <c r="O178" s="17" t="n"/>
      <c r="P178" s="17" t="n"/>
    </row>
    <row r="179">
      <c r="A179" s="17" t="n"/>
      <c r="B179" s="18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8" t="n"/>
      <c r="L179" s="6">
        <f>IF($J179="","",IFERROR(INDEX(Cadence!$B$4:$B$13,MATCH($J179,Cadence!$A$4:$A$13,0)),""))</f>
        <v/>
      </c>
      <c r="M179" s="19">
        <f>IF($J179="","",IFERROR(IF($K179="",$B179,$K179)+INDEX(Cadence!$C$4:$C$13,MATCH($J179,Cadence!$A$4:$A$13,0)),""))</f>
        <v/>
      </c>
      <c r="N179" s="20">
        <f>IF($M179="","",IF($M179&lt;TODAY(),"OVERDUE",IF($M179=TODAY(),"DUE TODAY",IF($M179&lt;=TODAY()+7,"THIS WEEK","LATER"))))</f>
        <v/>
      </c>
      <c r="O179" s="17" t="n"/>
      <c r="P179" s="17" t="n"/>
    </row>
    <row r="180">
      <c r="A180" s="17" t="n"/>
      <c r="B180" s="18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6">
        <f>IF($J180="","",IFERROR(INDEX(Cadence!$B$4:$B$13,MATCH($J180,Cadence!$A$4:$A$13,0)),""))</f>
        <v/>
      </c>
      <c r="M180" s="19">
        <f>IF($J180="","",IFERROR(IF($K180="",$B180,$K180)+INDEX(Cadence!$C$4:$C$13,MATCH($J180,Cadence!$A$4:$A$13,0)),""))</f>
        <v/>
      </c>
      <c r="N180" s="20">
        <f>IF($M180="","",IF($M180&lt;TODAY(),"OVERDUE",IF($M180=TODAY(),"DUE TODAY",IF($M180&lt;=TODAY()+7,"THIS WEEK","LATER"))))</f>
        <v/>
      </c>
      <c r="O180" s="17" t="n"/>
      <c r="P180" s="17" t="n"/>
    </row>
    <row r="181">
      <c r="A181" s="17" t="n"/>
      <c r="B181" s="18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8" t="n"/>
      <c r="L181" s="6">
        <f>IF($J181="","",IFERROR(INDEX(Cadence!$B$4:$B$13,MATCH($J181,Cadence!$A$4:$A$13,0)),""))</f>
        <v/>
      </c>
      <c r="M181" s="19">
        <f>IF($J181="","",IFERROR(IF($K181="",$B181,$K181)+INDEX(Cadence!$C$4:$C$13,MATCH($J181,Cadence!$A$4:$A$13,0)),""))</f>
        <v/>
      </c>
      <c r="N181" s="20">
        <f>IF($M181="","",IF($M181&lt;TODAY(),"OVERDUE",IF($M181=TODAY(),"DUE TODAY",IF($M181&lt;=TODAY()+7,"THIS WEEK","LATER"))))</f>
        <v/>
      </c>
      <c r="O181" s="17" t="n"/>
      <c r="P181" s="17" t="n"/>
    </row>
    <row r="182">
      <c r="A182" s="17" t="n"/>
      <c r="B182" s="18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6">
        <f>IF($J182="","",IFERROR(INDEX(Cadence!$B$4:$B$13,MATCH($J182,Cadence!$A$4:$A$13,0)),""))</f>
        <v/>
      </c>
      <c r="M182" s="19">
        <f>IF($J182="","",IFERROR(IF($K182="",$B182,$K182)+INDEX(Cadence!$C$4:$C$13,MATCH($J182,Cadence!$A$4:$A$13,0)),""))</f>
        <v/>
      </c>
      <c r="N182" s="20">
        <f>IF($M182="","",IF($M182&lt;TODAY(),"OVERDUE",IF($M182=TODAY(),"DUE TODAY",IF($M182&lt;=TODAY()+7,"THIS WEEK","LATER"))))</f>
        <v/>
      </c>
      <c r="O182" s="17" t="n"/>
      <c r="P182" s="17" t="n"/>
    </row>
    <row r="183">
      <c r="A183" s="17" t="n"/>
      <c r="B183" s="18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8" t="n"/>
      <c r="L183" s="6">
        <f>IF($J183="","",IFERROR(INDEX(Cadence!$B$4:$B$13,MATCH($J183,Cadence!$A$4:$A$13,0)),""))</f>
        <v/>
      </c>
      <c r="M183" s="19">
        <f>IF($J183="","",IFERROR(IF($K183="",$B183,$K183)+INDEX(Cadence!$C$4:$C$13,MATCH($J183,Cadence!$A$4:$A$13,0)),""))</f>
        <v/>
      </c>
      <c r="N183" s="20">
        <f>IF($M183="","",IF($M183&lt;TODAY(),"OVERDUE",IF($M183=TODAY(),"DUE TODAY",IF($M183&lt;=TODAY()+7,"THIS WEEK","LATER"))))</f>
        <v/>
      </c>
      <c r="O183" s="17" t="n"/>
      <c r="P183" s="17" t="n"/>
    </row>
    <row r="184">
      <c r="A184" s="17" t="n"/>
      <c r="B184" s="18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6">
        <f>IF($J184="","",IFERROR(INDEX(Cadence!$B$4:$B$13,MATCH($J184,Cadence!$A$4:$A$13,0)),""))</f>
        <v/>
      </c>
      <c r="M184" s="19">
        <f>IF($J184="","",IFERROR(IF($K184="",$B184,$K184)+INDEX(Cadence!$C$4:$C$13,MATCH($J184,Cadence!$A$4:$A$13,0)),""))</f>
        <v/>
      </c>
      <c r="N184" s="20">
        <f>IF($M184="","",IF($M184&lt;TODAY(),"OVERDUE",IF($M184=TODAY(),"DUE TODAY",IF($M184&lt;=TODAY()+7,"THIS WEEK","LATER"))))</f>
        <v/>
      </c>
      <c r="O184" s="17" t="n"/>
      <c r="P184" s="17" t="n"/>
    </row>
    <row r="185">
      <c r="A185" s="17" t="n"/>
      <c r="B185" s="18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8" t="n"/>
      <c r="L185" s="6">
        <f>IF($J185="","",IFERROR(INDEX(Cadence!$B$4:$B$13,MATCH($J185,Cadence!$A$4:$A$13,0)),""))</f>
        <v/>
      </c>
      <c r="M185" s="19">
        <f>IF($J185="","",IFERROR(IF($K185="",$B185,$K185)+INDEX(Cadence!$C$4:$C$13,MATCH($J185,Cadence!$A$4:$A$13,0)),""))</f>
        <v/>
      </c>
      <c r="N185" s="20">
        <f>IF($M185="","",IF($M185&lt;TODAY(),"OVERDUE",IF($M185=TODAY(),"DUE TODAY",IF($M185&lt;=TODAY()+7,"THIS WEEK","LATER"))))</f>
        <v/>
      </c>
      <c r="O185" s="17" t="n"/>
      <c r="P185" s="17" t="n"/>
    </row>
    <row r="186">
      <c r="A186" s="17" t="n"/>
      <c r="B186" s="18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6">
        <f>IF($J186="","",IFERROR(INDEX(Cadence!$B$4:$B$13,MATCH($J186,Cadence!$A$4:$A$13,0)),""))</f>
        <v/>
      </c>
      <c r="M186" s="19">
        <f>IF($J186="","",IFERROR(IF($K186="",$B186,$K186)+INDEX(Cadence!$C$4:$C$13,MATCH($J186,Cadence!$A$4:$A$13,0)),""))</f>
        <v/>
      </c>
      <c r="N186" s="20">
        <f>IF($M186="","",IF($M186&lt;TODAY(),"OVERDUE",IF($M186=TODAY(),"DUE TODAY",IF($M186&lt;=TODAY()+7,"THIS WEEK","LATER"))))</f>
        <v/>
      </c>
      <c r="O186" s="17" t="n"/>
      <c r="P186" s="17" t="n"/>
    </row>
    <row r="187">
      <c r="A187" s="17" t="n"/>
      <c r="B187" s="18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8" t="n"/>
      <c r="L187" s="6">
        <f>IF($J187="","",IFERROR(INDEX(Cadence!$B$4:$B$13,MATCH($J187,Cadence!$A$4:$A$13,0)),""))</f>
        <v/>
      </c>
      <c r="M187" s="19">
        <f>IF($J187="","",IFERROR(IF($K187="",$B187,$K187)+INDEX(Cadence!$C$4:$C$13,MATCH($J187,Cadence!$A$4:$A$13,0)),""))</f>
        <v/>
      </c>
      <c r="N187" s="20">
        <f>IF($M187="","",IF($M187&lt;TODAY(),"OVERDUE",IF($M187=TODAY(),"DUE TODAY",IF($M187&lt;=TODAY()+7,"THIS WEEK","LATER"))))</f>
        <v/>
      </c>
      <c r="O187" s="17" t="n"/>
      <c r="P187" s="17" t="n"/>
    </row>
    <row r="188">
      <c r="A188" s="17" t="n"/>
      <c r="B188" s="18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6">
        <f>IF($J188="","",IFERROR(INDEX(Cadence!$B$4:$B$13,MATCH($J188,Cadence!$A$4:$A$13,0)),""))</f>
        <v/>
      </c>
      <c r="M188" s="19">
        <f>IF($J188="","",IFERROR(IF($K188="",$B188,$K188)+INDEX(Cadence!$C$4:$C$13,MATCH($J188,Cadence!$A$4:$A$13,0)),""))</f>
        <v/>
      </c>
      <c r="N188" s="20">
        <f>IF($M188="","",IF($M188&lt;TODAY(),"OVERDUE",IF($M188=TODAY(),"DUE TODAY",IF($M188&lt;=TODAY()+7,"THIS WEEK","LATER"))))</f>
        <v/>
      </c>
      <c r="O188" s="17" t="n"/>
      <c r="P188" s="17" t="n"/>
    </row>
    <row r="189">
      <c r="A189" s="17" t="n"/>
      <c r="B189" s="18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8" t="n"/>
      <c r="L189" s="6">
        <f>IF($J189="","",IFERROR(INDEX(Cadence!$B$4:$B$13,MATCH($J189,Cadence!$A$4:$A$13,0)),""))</f>
        <v/>
      </c>
      <c r="M189" s="19">
        <f>IF($J189="","",IFERROR(IF($K189="",$B189,$K189)+INDEX(Cadence!$C$4:$C$13,MATCH($J189,Cadence!$A$4:$A$13,0)),""))</f>
        <v/>
      </c>
      <c r="N189" s="20">
        <f>IF($M189="","",IF($M189&lt;TODAY(),"OVERDUE",IF($M189=TODAY(),"DUE TODAY",IF($M189&lt;=TODAY()+7,"THIS WEEK","LATER"))))</f>
        <v/>
      </c>
      <c r="O189" s="17" t="n"/>
      <c r="P189" s="17" t="n"/>
    </row>
    <row r="190">
      <c r="A190" s="17" t="n"/>
      <c r="B190" s="18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6">
        <f>IF($J190="","",IFERROR(INDEX(Cadence!$B$4:$B$13,MATCH($J190,Cadence!$A$4:$A$13,0)),""))</f>
        <v/>
      </c>
      <c r="M190" s="19">
        <f>IF($J190="","",IFERROR(IF($K190="",$B190,$K190)+INDEX(Cadence!$C$4:$C$13,MATCH($J190,Cadence!$A$4:$A$13,0)),""))</f>
        <v/>
      </c>
      <c r="N190" s="20">
        <f>IF($M190="","",IF($M190&lt;TODAY(),"OVERDUE",IF($M190=TODAY(),"DUE TODAY",IF($M190&lt;=TODAY()+7,"THIS WEEK","LATER"))))</f>
        <v/>
      </c>
      <c r="O190" s="17" t="n"/>
      <c r="P190" s="17" t="n"/>
    </row>
    <row r="191">
      <c r="A191" s="17" t="n"/>
      <c r="B191" s="18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8" t="n"/>
      <c r="L191" s="6">
        <f>IF($J191="","",IFERROR(INDEX(Cadence!$B$4:$B$13,MATCH($J191,Cadence!$A$4:$A$13,0)),""))</f>
        <v/>
      </c>
      <c r="M191" s="19">
        <f>IF($J191="","",IFERROR(IF($K191="",$B191,$K191)+INDEX(Cadence!$C$4:$C$13,MATCH($J191,Cadence!$A$4:$A$13,0)),""))</f>
        <v/>
      </c>
      <c r="N191" s="20">
        <f>IF($M191="","",IF($M191&lt;TODAY(),"OVERDUE",IF($M191=TODAY(),"DUE TODAY",IF($M191&lt;=TODAY()+7,"THIS WEEK","LATER"))))</f>
        <v/>
      </c>
      <c r="O191" s="17" t="n"/>
      <c r="P191" s="17" t="n"/>
    </row>
    <row r="192">
      <c r="A192" s="17" t="n"/>
      <c r="B192" s="18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6">
        <f>IF($J192="","",IFERROR(INDEX(Cadence!$B$4:$B$13,MATCH($J192,Cadence!$A$4:$A$13,0)),""))</f>
        <v/>
      </c>
      <c r="M192" s="19">
        <f>IF($J192="","",IFERROR(IF($K192="",$B192,$K192)+INDEX(Cadence!$C$4:$C$13,MATCH($J192,Cadence!$A$4:$A$13,0)),""))</f>
        <v/>
      </c>
      <c r="N192" s="20">
        <f>IF($M192="","",IF($M192&lt;TODAY(),"OVERDUE",IF($M192=TODAY(),"DUE TODAY",IF($M192&lt;=TODAY()+7,"THIS WEEK","LATER"))))</f>
        <v/>
      </c>
      <c r="O192" s="17" t="n"/>
      <c r="P192" s="17" t="n"/>
    </row>
    <row r="193">
      <c r="A193" s="17" t="n"/>
      <c r="B193" s="18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8" t="n"/>
      <c r="L193" s="6">
        <f>IF($J193="","",IFERROR(INDEX(Cadence!$B$4:$B$13,MATCH($J193,Cadence!$A$4:$A$13,0)),""))</f>
        <v/>
      </c>
      <c r="M193" s="19">
        <f>IF($J193="","",IFERROR(IF($K193="",$B193,$K193)+INDEX(Cadence!$C$4:$C$13,MATCH($J193,Cadence!$A$4:$A$13,0)),""))</f>
        <v/>
      </c>
      <c r="N193" s="20">
        <f>IF($M193="","",IF($M193&lt;TODAY(),"OVERDUE",IF($M193=TODAY(),"DUE TODAY",IF($M193&lt;=TODAY()+7,"THIS WEEK","LATER"))))</f>
        <v/>
      </c>
      <c r="O193" s="17" t="n"/>
      <c r="P193" s="17" t="n"/>
    </row>
    <row r="194">
      <c r="A194" s="17" t="n"/>
      <c r="B194" s="18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6">
        <f>IF($J194="","",IFERROR(INDEX(Cadence!$B$4:$B$13,MATCH($J194,Cadence!$A$4:$A$13,0)),""))</f>
        <v/>
      </c>
      <c r="M194" s="19">
        <f>IF($J194="","",IFERROR(IF($K194="",$B194,$K194)+INDEX(Cadence!$C$4:$C$13,MATCH($J194,Cadence!$A$4:$A$13,0)),""))</f>
        <v/>
      </c>
      <c r="N194" s="20">
        <f>IF($M194="","",IF($M194&lt;TODAY(),"OVERDUE",IF($M194=TODAY(),"DUE TODAY",IF($M194&lt;=TODAY()+7,"THIS WEEK","LATER"))))</f>
        <v/>
      </c>
      <c r="O194" s="17" t="n"/>
      <c r="P194" s="17" t="n"/>
    </row>
    <row r="195">
      <c r="A195" s="17" t="n"/>
      <c r="B195" s="18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8" t="n"/>
      <c r="L195" s="6">
        <f>IF($J195="","",IFERROR(INDEX(Cadence!$B$4:$B$13,MATCH($J195,Cadence!$A$4:$A$13,0)),""))</f>
        <v/>
      </c>
      <c r="M195" s="19">
        <f>IF($J195="","",IFERROR(IF($K195="",$B195,$K195)+INDEX(Cadence!$C$4:$C$13,MATCH($J195,Cadence!$A$4:$A$13,0)),""))</f>
        <v/>
      </c>
      <c r="N195" s="20">
        <f>IF($M195="","",IF($M195&lt;TODAY(),"OVERDUE",IF($M195=TODAY(),"DUE TODAY",IF($M195&lt;=TODAY()+7,"THIS WEEK","LATER"))))</f>
        <v/>
      </c>
      <c r="O195" s="17" t="n"/>
      <c r="P195" s="17" t="n"/>
    </row>
    <row r="196">
      <c r="A196" s="17" t="n"/>
      <c r="B196" s="18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6">
        <f>IF($J196="","",IFERROR(INDEX(Cadence!$B$4:$B$13,MATCH($J196,Cadence!$A$4:$A$13,0)),""))</f>
        <v/>
      </c>
      <c r="M196" s="19">
        <f>IF($J196="","",IFERROR(IF($K196="",$B196,$K196)+INDEX(Cadence!$C$4:$C$13,MATCH($J196,Cadence!$A$4:$A$13,0)),""))</f>
        <v/>
      </c>
      <c r="N196" s="20">
        <f>IF($M196="","",IF($M196&lt;TODAY(),"OVERDUE",IF($M196=TODAY(),"DUE TODAY",IF($M196&lt;=TODAY()+7,"THIS WEEK","LATER"))))</f>
        <v/>
      </c>
      <c r="O196" s="17" t="n"/>
      <c r="P196" s="17" t="n"/>
    </row>
    <row r="197">
      <c r="A197" s="17" t="n"/>
      <c r="B197" s="18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8" t="n"/>
      <c r="L197" s="6">
        <f>IF($J197="","",IFERROR(INDEX(Cadence!$B$4:$B$13,MATCH($J197,Cadence!$A$4:$A$13,0)),""))</f>
        <v/>
      </c>
      <c r="M197" s="19">
        <f>IF($J197="","",IFERROR(IF($K197="",$B197,$K197)+INDEX(Cadence!$C$4:$C$13,MATCH($J197,Cadence!$A$4:$A$13,0)),""))</f>
        <v/>
      </c>
      <c r="N197" s="20">
        <f>IF($M197="","",IF($M197&lt;TODAY(),"OVERDUE",IF($M197=TODAY(),"DUE TODAY",IF($M197&lt;=TODAY()+7,"THIS WEEK","LATER"))))</f>
        <v/>
      </c>
      <c r="O197" s="17" t="n"/>
      <c r="P197" s="17" t="n"/>
    </row>
    <row r="198">
      <c r="A198" s="17" t="n"/>
      <c r="B198" s="18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6">
        <f>IF($J198="","",IFERROR(INDEX(Cadence!$B$4:$B$13,MATCH($J198,Cadence!$A$4:$A$13,0)),""))</f>
        <v/>
      </c>
      <c r="M198" s="19">
        <f>IF($J198="","",IFERROR(IF($K198="",$B198,$K198)+INDEX(Cadence!$C$4:$C$13,MATCH($J198,Cadence!$A$4:$A$13,0)),""))</f>
        <v/>
      </c>
      <c r="N198" s="20">
        <f>IF($M198="","",IF($M198&lt;TODAY(),"OVERDUE",IF($M198=TODAY(),"DUE TODAY",IF($M198&lt;=TODAY()+7,"THIS WEEK","LATER"))))</f>
        <v/>
      </c>
      <c r="O198" s="17" t="n"/>
      <c r="P198" s="17" t="n"/>
    </row>
    <row r="199">
      <c r="A199" s="17" t="n"/>
      <c r="B199" s="18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8" t="n"/>
      <c r="L199" s="6">
        <f>IF($J199="","",IFERROR(INDEX(Cadence!$B$4:$B$13,MATCH($J199,Cadence!$A$4:$A$13,0)),""))</f>
        <v/>
      </c>
      <c r="M199" s="19">
        <f>IF($J199="","",IFERROR(IF($K199="",$B199,$K199)+INDEX(Cadence!$C$4:$C$13,MATCH($J199,Cadence!$A$4:$A$13,0)),""))</f>
        <v/>
      </c>
      <c r="N199" s="20">
        <f>IF($M199="","",IF($M199&lt;TODAY(),"OVERDUE",IF($M199=TODAY(),"DUE TODAY",IF($M199&lt;=TODAY()+7,"THIS WEEK","LATER"))))</f>
        <v/>
      </c>
      <c r="O199" s="17" t="n"/>
      <c r="P199" s="17" t="n"/>
    </row>
    <row r="200">
      <c r="A200" s="17" t="n"/>
      <c r="B200" s="18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6">
        <f>IF($J200="","",IFERROR(INDEX(Cadence!$B$4:$B$13,MATCH($J200,Cadence!$A$4:$A$13,0)),""))</f>
        <v/>
      </c>
      <c r="M200" s="19">
        <f>IF($J200="","",IFERROR(IF($K200="",$B200,$K200)+INDEX(Cadence!$C$4:$C$13,MATCH($J200,Cadence!$A$4:$A$13,0)),""))</f>
        <v/>
      </c>
      <c r="N200" s="20">
        <f>IF($M200="","",IF($M200&lt;TODAY(),"OVERDUE",IF($M200=TODAY(),"DUE TODAY",IF($M200&lt;=TODAY()+7,"THIS WEEK","LATER"))))</f>
        <v/>
      </c>
      <c r="O200" s="17" t="n"/>
      <c r="P200" s="17" t="n"/>
    </row>
    <row r="201">
      <c r="A201" s="17" t="n"/>
      <c r="B201" s="18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8" t="n"/>
      <c r="L201" s="6">
        <f>IF($J201="","",IFERROR(INDEX(Cadence!$B$4:$B$13,MATCH($J201,Cadence!$A$4:$A$13,0)),""))</f>
        <v/>
      </c>
      <c r="M201" s="19">
        <f>IF($J201="","",IFERROR(IF($K201="",$B201,$K201)+INDEX(Cadence!$C$4:$C$13,MATCH($J201,Cadence!$A$4:$A$13,0)),""))</f>
        <v/>
      </c>
      <c r="N201" s="20">
        <f>IF($M201="","",IF($M201&lt;TODAY(),"OVERDUE",IF($M201=TODAY(),"DUE TODAY",IF($M201&lt;=TODAY()+7,"THIS WEEK","LATER"))))</f>
        <v/>
      </c>
      <c r="O201" s="17" t="n"/>
      <c r="P201" s="17" t="n"/>
    </row>
    <row r="202">
      <c r="A202" s="17" t="n"/>
      <c r="B202" s="18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6">
        <f>IF($J202="","",IFERROR(INDEX(Cadence!$B$4:$B$13,MATCH($J202,Cadence!$A$4:$A$13,0)),""))</f>
        <v/>
      </c>
      <c r="M202" s="19">
        <f>IF($J202="","",IFERROR(IF($K202="",$B202,$K202)+INDEX(Cadence!$C$4:$C$13,MATCH($J202,Cadence!$A$4:$A$13,0)),""))</f>
        <v/>
      </c>
      <c r="N202" s="20">
        <f>IF($M202="","",IF($M202&lt;TODAY(),"OVERDUE",IF($M202=TODAY(),"DUE TODAY",IF($M202&lt;=TODAY()+7,"THIS WEEK","LATER"))))</f>
        <v/>
      </c>
      <c r="O202" s="17" t="n"/>
      <c r="P202" s="17" t="n"/>
    </row>
    <row r="203">
      <c r="A203" s="17" t="n"/>
      <c r="B203" s="18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8" t="n"/>
      <c r="L203" s="6">
        <f>IF($J203="","",IFERROR(INDEX(Cadence!$B$4:$B$13,MATCH($J203,Cadence!$A$4:$A$13,0)),""))</f>
        <v/>
      </c>
      <c r="M203" s="19">
        <f>IF($J203="","",IFERROR(IF($K203="",$B203,$K203)+INDEX(Cadence!$C$4:$C$13,MATCH($J203,Cadence!$A$4:$A$13,0)),""))</f>
        <v/>
      </c>
      <c r="N203" s="20">
        <f>IF($M203="","",IF($M203&lt;TODAY(),"OVERDUE",IF($M203=TODAY(),"DUE TODAY",IF($M203&lt;=TODAY()+7,"THIS WEEK","LATER"))))</f>
        <v/>
      </c>
      <c r="O203" s="17" t="n"/>
      <c r="P203" s="17" t="n"/>
    </row>
    <row r="204">
      <c r="A204" s="17" t="n"/>
      <c r="B204" s="18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6">
        <f>IF($J204="","",IFERROR(INDEX(Cadence!$B$4:$B$13,MATCH($J204,Cadence!$A$4:$A$13,0)),""))</f>
        <v/>
      </c>
      <c r="M204" s="19">
        <f>IF($J204="","",IFERROR(IF($K204="",$B204,$K204)+INDEX(Cadence!$C$4:$C$13,MATCH($J204,Cadence!$A$4:$A$13,0)),""))</f>
        <v/>
      </c>
      <c r="N204" s="20">
        <f>IF($M204="","",IF($M204&lt;TODAY(),"OVERDUE",IF($M204=TODAY(),"DUE TODAY",IF($M204&lt;=TODAY()+7,"THIS WEEK","LATER"))))</f>
        <v/>
      </c>
      <c r="O204" s="17" t="n"/>
      <c r="P204" s="17" t="n"/>
    </row>
    <row r="205">
      <c r="A205" s="17" t="n"/>
      <c r="B205" s="18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8" t="n"/>
      <c r="L205" s="6">
        <f>IF($J205="","",IFERROR(INDEX(Cadence!$B$4:$B$13,MATCH($J205,Cadence!$A$4:$A$13,0)),""))</f>
        <v/>
      </c>
      <c r="M205" s="19">
        <f>IF($J205="","",IFERROR(IF($K205="",$B205,$K205)+INDEX(Cadence!$C$4:$C$13,MATCH($J205,Cadence!$A$4:$A$13,0)),""))</f>
        <v/>
      </c>
      <c r="N205" s="20">
        <f>IF($M205="","",IF($M205&lt;TODAY(),"OVERDUE",IF($M205=TODAY(),"DUE TODAY",IF($M205&lt;=TODAY()+7,"THIS WEEK","LATER"))))</f>
        <v/>
      </c>
      <c r="O205" s="17" t="n"/>
      <c r="P205" s="17" t="n"/>
    </row>
    <row r="206">
      <c r="A206" s="17" t="n"/>
      <c r="B206" s="18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6">
        <f>IF($J206="","",IFERROR(INDEX(Cadence!$B$4:$B$13,MATCH($J206,Cadence!$A$4:$A$13,0)),""))</f>
        <v/>
      </c>
      <c r="M206" s="19">
        <f>IF($J206="","",IFERROR(IF($K206="",$B206,$K206)+INDEX(Cadence!$C$4:$C$13,MATCH($J206,Cadence!$A$4:$A$13,0)),""))</f>
        <v/>
      </c>
      <c r="N206" s="20">
        <f>IF($M206="","",IF($M206&lt;TODAY(),"OVERDUE",IF($M206=TODAY(),"DUE TODAY",IF($M206&lt;=TODAY()+7,"THIS WEEK","LATER"))))</f>
        <v/>
      </c>
      <c r="O206" s="17" t="n"/>
      <c r="P206" s="17" t="n"/>
    </row>
    <row r="207">
      <c r="A207" s="17" t="n"/>
      <c r="B207" s="18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8" t="n"/>
      <c r="L207" s="6">
        <f>IF($J207="","",IFERROR(INDEX(Cadence!$B$4:$B$13,MATCH($J207,Cadence!$A$4:$A$13,0)),""))</f>
        <v/>
      </c>
      <c r="M207" s="19">
        <f>IF($J207="","",IFERROR(IF($K207="",$B207,$K207)+INDEX(Cadence!$C$4:$C$13,MATCH($J207,Cadence!$A$4:$A$13,0)),""))</f>
        <v/>
      </c>
      <c r="N207" s="20">
        <f>IF($M207="","",IF($M207&lt;TODAY(),"OVERDUE",IF($M207=TODAY(),"DUE TODAY",IF($M207&lt;=TODAY()+7,"THIS WEEK","LATER"))))</f>
        <v/>
      </c>
      <c r="O207" s="17" t="n"/>
      <c r="P207" s="17" t="n"/>
    </row>
    <row r="208">
      <c r="A208" s="17" t="n"/>
      <c r="B208" s="18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6">
        <f>IF($J208="","",IFERROR(INDEX(Cadence!$B$4:$B$13,MATCH($J208,Cadence!$A$4:$A$13,0)),""))</f>
        <v/>
      </c>
      <c r="M208" s="19">
        <f>IF($J208="","",IFERROR(IF($K208="",$B208,$K208)+INDEX(Cadence!$C$4:$C$13,MATCH($J208,Cadence!$A$4:$A$13,0)),""))</f>
        <v/>
      </c>
      <c r="N208" s="20">
        <f>IF($M208="","",IF($M208&lt;TODAY(),"OVERDUE",IF($M208=TODAY(),"DUE TODAY",IF($M208&lt;=TODAY()+7,"THIS WEEK","LATER"))))</f>
        <v/>
      </c>
      <c r="O208" s="17" t="n"/>
      <c r="P208" s="17" t="n"/>
    </row>
    <row r="209">
      <c r="A209" s="17" t="n"/>
      <c r="B209" s="18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8" t="n"/>
      <c r="L209" s="6">
        <f>IF($J209="","",IFERROR(INDEX(Cadence!$B$4:$B$13,MATCH($J209,Cadence!$A$4:$A$13,0)),""))</f>
        <v/>
      </c>
      <c r="M209" s="19">
        <f>IF($J209="","",IFERROR(IF($K209="",$B209,$K209)+INDEX(Cadence!$C$4:$C$13,MATCH($J209,Cadence!$A$4:$A$13,0)),""))</f>
        <v/>
      </c>
      <c r="N209" s="20">
        <f>IF($M209="","",IF($M209&lt;TODAY(),"OVERDUE",IF($M209=TODAY(),"DUE TODAY",IF($M209&lt;=TODAY()+7,"THIS WEEK","LATER"))))</f>
        <v/>
      </c>
      <c r="O209" s="17" t="n"/>
      <c r="P209" s="17" t="n"/>
    </row>
    <row r="210">
      <c r="A210" s="17" t="n"/>
      <c r="B210" s="18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6">
        <f>IF($J210="","",IFERROR(INDEX(Cadence!$B$4:$B$13,MATCH($J210,Cadence!$A$4:$A$13,0)),""))</f>
        <v/>
      </c>
      <c r="M210" s="19">
        <f>IF($J210="","",IFERROR(IF($K210="",$B210,$K210)+INDEX(Cadence!$C$4:$C$13,MATCH($J210,Cadence!$A$4:$A$13,0)),""))</f>
        <v/>
      </c>
      <c r="N210" s="20">
        <f>IF($M210="","",IF($M210&lt;TODAY(),"OVERDUE",IF($M210=TODAY(),"DUE TODAY",IF($M210&lt;=TODAY()+7,"THIS WEEK","LATER"))))</f>
        <v/>
      </c>
      <c r="O210" s="17" t="n"/>
      <c r="P210" s="17" t="n"/>
    </row>
    <row r="211">
      <c r="A211" s="17" t="n"/>
      <c r="B211" s="18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8" t="n"/>
      <c r="L211" s="6">
        <f>IF($J211="","",IFERROR(INDEX(Cadence!$B$4:$B$13,MATCH($J211,Cadence!$A$4:$A$13,0)),""))</f>
        <v/>
      </c>
      <c r="M211" s="19">
        <f>IF($J211="","",IFERROR(IF($K211="",$B211,$K211)+INDEX(Cadence!$C$4:$C$13,MATCH($J211,Cadence!$A$4:$A$13,0)),""))</f>
        <v/>
      </c>
      <c r="N211" s="20">
        <f>IF($M211="","",IF($M211&lt;TODAY(),"OVERDUE",IF($M211=TODAY(),"DUE TODAY",IF($M211&lt;=TODAY()+7,"THIS WEEK","LATER"))))</f>
        <v/>
      </c>
      <c r="O211" s="17" t="n"/>
      <c r="P211" s="17" t="n"/>
    </row>
    <row r="212">
      <c r="A212" s="17" t="n"/>
      <c r="B212" s="18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6">
        <f>IF($J212="","",IFERROR(INDEX(Cadence!$B$4:$B$13,MATCH($J212,Cadence!$A$4:$A$13,0)),""))</f>
        <v/>
      </c>
      <c r="M212" s="19">
        <f>IF($J212="","",IFERROR(IF($K212="",$B212,$K212)+INDEX(Cadence!$C$4:$C$13,MATCH($J212,Cadence!$A$4:$A$13,0)),""))</f>
        <v/>
      </c>
      <c r="N212" s="20">
        <f>IF($M212="","",IF($M212&lt;TODAY(),"OVERDUE",IF($M212=TODAY(),"DUE TODAY",IF($M212&lt;=TODAY()+7,"THIS WEEK","LATER"))))</f>
        <v/>
      </c>
      <c r="O212" s="17" t="n"/>
      <c r="P212" s="17" t="n"/>
    </row>
    <row r="213">
      <c r="A213" s="17" t="n"/>
      <c r="B213" s="18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8" t="n"/>
      <c r="L213" s="6">
        <f>IF($J213="","",IFERROR(INDEX(Cadence!$B$4:$B$13,MATCH($J213,Cadence!$A$4:$A$13,0)),""))</f>
        <v/>
      </c>
      <c r="M213" s="19">
        <f>IF($J213="","",IFERROR(IF($K213="",$B213,$K213)+INDEX(Cadence!$C$4:$C$13,MATCH($J213,Cadence!$A$4:$A$13,0)),""))</f>
        <v/>
      </c>
      <c r="N213" s="20">
        <f>IF($M213="","",IF($M213&lt;TODAY(),"OVERDUE",IF($M213=TODAY(),"DUE TODAY",IF($M213&lt;=TODAY()+7,"THIS WEEK","LATER"))))</f>
        <v/>
      </c>
      <c r="O213" s="17" t="n"/>
      <c r="P213" s="17" t="n"/>
    </row>
    <row r="214">
      <c r="A214" s="17" t="n"/>
      <c r="B214" s="18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6">
        <f>IF($J214="","",IFERROR(INDEX(Cadence!$B$4:$B$13,MATCH($J214,Cadence!$A$4:$A$13,0)),""))</f>
        <v/>
      </c>
      <c r="M214" s="19">
        <f>IF($J214="","",IFERROR(IF($K214="",$B214,$K214)+INDEX(Cadence!$C$4:$C$13,MATCH($J214,Cadence!$A$4:$A$13,0)),""))</f>
        <v/>
      </c>
      <c r="N214" s="20">
        <f>IF($M214="","",IF($M214&lt;TODAY(),"OVERDUE",IF($M214=TODAY(),"DUE TODAY",IF($M214&lt;=TODAY()+7,"THIS WEEK","LATER"))))</f>
        <v/>
      </c>
      <c r="O214" s="17" t="n"/>
      <c r="P214" s="17" t="n"/>
    </row>
    <row r="215">
      <c r="A215" s="17" t="n"/>
      <c r="B215" s="18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8" t="n"/>
      <c r="L215" s="6">
        <f>IF($J215="","",IFERROR(INDEX(Cadence!$B$4:$B$13,MATCH($J215,Cadence!$A$4:$A$13,0)),""))</f>
        <v/>
      </c>
      <c r="M215" s="19">
        <f>IF($J215="","",IFERROR(IF($K215="",$B215,$K215)+INDEX(Cadence!$C$4:$C$13,MATCH($J215,Cadence!$A$4:$A$13,0)),""))</f>
        <v/>
      </c>
      <c r="N215" s="20">
        <f>IF($M215="","",IF($M215&lt;TODAY(),"OVERDUE",IF($M215=TODAY(),"DUE TODAY",IF($M215&lt;=TODAY()+7,"THIS WEEK","LATER"))))</f>
        <v/>
      </c>
      <c r="O215" s="17" t="n"/>
      <c r="P215" s="17" t="n"/>
    </row>
    <row r="216">
      <c r="A216" s="17" t="n"/>
      <c r="B216" s="18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6">
        <f>IF($J216="","",IFERROR(INDEX(Cadence!$B$4:$B$13,MATCH($J216,Cadence!$A$4:$A$13,0)),""))</f>
        <v/>
      </c>
      <c r="M216" s="19">
        <f>IF($J216="","",IFERROR(IF($K216="",$B216,$K216)+INDEX(Cadence!$C$4:$C$13,MATCH($J216,Cadence!$A$4:$A$13,0)),""))</f>
        <v/>
      </c>
      <c r="N216" s="20">
        <f>IF($M216="","",IF($M216&lt;TODAY(),"OVERDUE",IF($M216=TODAY(),"DUE TODAY",IF($M216&lt;=TODAY()+7,"THIS WEEK","LATER"))))</f>
        <v/>
      </c>
      <c r="O216" s="17" t="n"/>
      <c r="P216" s="17" t="n"/>
    </row>
    <row r="217">
      <c r="A217" s="17" t="n"/>
      <c r="B217" s="18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8" t="n"/>
      <c r="L217" s="6">
        <f>IF($J217="","",IFERROR(INDEX(Cadence!$B$4:$B$13,MATCH($J217,Cadence!$A$4:$A$13,0)),""))</f>
        <v/>
      </c>
      <c r="M217" s="19">
        <f>IF($J217="","",IFERROR(IF($K217="",$B217,$K217)+INDEX(Cadence!$C$4:$C$13,MATCH($J217,Cadence!$A$4:$A$13,0)),""))</f>
        <v/>
      </c>
      <c r="N217" s="20">
        <f>IF($M217="","",IF($M217&lt;TODAY(),"OVERDUE",IF($M217=TODAY(),"DUE TODAY",IF($M217&lt;=TODAY()+7,"THIS WEEK","LATER"))))</f>
        <v/>
      </c>
      <c r="O217" s="17" t="n"/>
      <c r="P217" s="17" t="n"/>
    </row>
    <row r="218">
      <c r="A218" s="17" t="n"/>
      <c r="B218" s="18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6">
        <f>IF($J218="","",IFERROR(INDEX(Cadence!$B$4:$B$13,MATCH($J218,Cadence!$A$4:$A$13,0)),""))</f>
        <v/>
      </c>
      <c r="M218" s="19">
        <f>IF($J218="","",IFERROR(IF($K218="",$B218,$K218)+INDEX(Cadence!$C$4:$C$13,MATCH($J218,Cadence!$A$4:$A$13,0)),""))</f>
        <v/>
      </c>
      <c r="N218" s="20">
        <f>IF($M218="","",IF($M218&lt;TODAY(),"OVERDUE",IF($M218=TODAY(),"DUE TODAY",IF($M218&lt;=TODAY()+7,"THIS WEEK","LATER"))))</f>
        <v/>
      </c>
      <c r="O218" s="17" t="n"/>
      <c r="P218" s="17" t="n"/>
    </row>
    <row r="219">
      <c r="A219" s="17" t="n"/>
      <c r="B219" s="18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8" t="n"/>
      <c r="L219" s="6">
        <f>IF($J219="","",IFERROR(INDEX(Cadence!$B$4:$B$13,MATCH($J219,Cadence!$A$4:$A$13,0)),""))</f>
        <v/>
      </c>
      <c r="M219" s="19">
        <f>IF($J219="","",IFERROR(IF($K219="",$B219,$K219)+INDEX(Cadence!$C$4:$C$13,MATCH($J219,Cadence!$A$4:$A$13,0)),""))</f>
        <v/>
      </c>
      <c r="N219" s="20">
        <f>IF($M219="","",IF($M219&lt;TODAY(),"OVERDUE",IF($M219=TODAY(),"DUE TODAY",IF($M219&lt;=TODAY()+7,"THIS WEEK","LATER"))))</f>
        <v/>
      </c>
      <c r="O219" s="17" t="n"/>
      <c r="P219" s="17" t="n"/>
    </row>
    <row r="220">
      <c r="A220" s="17" t="n"/>
      <c r="B220" s="18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6">
        <f>IF($J220="","",IFERROR(INDEX(Cadence!$B$4:$B$13,MATCH($J220,Cadence!$A$4:$A$13,0)),""))</f>
        <v/>
      </c>
      <c r="M220" s="19">
        <f>IF($J220="","",IFERROR(IF($K220="",$B220,$K220)+INDEX(Cadence!$C$4:$C$13,MATCH($J220,Cadence!$A$4:$A$13,0)),""))</f>
        <v/>
      </c>
      <c r="N220" s="20">
        <f>IF($M220="","",IF($M220&lt;TODAY(),"OVERDUE",IF($M220=TODAY(),"DUE TODAY",IF($M220&lt;=TODAY()+7,"THIS WEEK","LATER"))))</f>
        <v/>
      </c>
      <c r="O220" s="17" t="n"/>
      <c r="P220" s="17" t="n"/>
    </row>
    <row r="221">
      <c r="A221" s="17" t="n"/>
      <c r="B221" s="18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8" t="n"/>
      <c r="L221" s="6">
        <f>IF($J221="","",IFERROR(INDEX(Cadence!$B$4:$B$13,MATCH($J221,Cadence!$A$4:$A$13,0)),""))</f>
        <v/>
      </c>
      <c r="M221" s="19">
        <f>IF($J221="","",IFERROR(IF($K221="",$B221,$K221)+INDEX(Cadence!$C$4:$C$13,MATCH($J221,Cadence!$A$4:$A$13,0)),""))</f>
        <v/>
      </c>
      <c r="N221" s="20">
        <f>IF($M221="","",IF($M221&lt;TODAY(),"OVERDUE",IF($M221=TODAY(),"DUE TODAY",IF($M221&lt;=TODAY()+7,"THIS WEEK","LATER"))))</f>
        <v/>
      </c>
      <c r="O221" s="17" t="n"/>
      <c r="P221" s="17" t="n"/>
    </row>
    <row r="222">
      <c r="A222" s="17" t="n"/>
      <c r="B222" s="18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6">
        <f>IF($J222="","",IFERROR(INDEX(Cadence!$B$4:$B$13,MATCH($J222,Cadence!$A$4:$A$13,0)),""))</f>
        <v/>
      </c>
      <c r="M222" s="19">
        <f>IF($J222="","",IFERROR(IF($K222="",$B222,$K222)+INDEX(Cadence!$C$4:$C$13,MATCH($J222,Cadence!$A$4:$A$13,0)),""))</f>
        <v/>
      </c>
      <c r="N222" s="20">
        <f>IF($M222="","",IF($M222&lt;TODAY(),"OVERDUE",IF($M222=TODAY(),"DUE TODAY",IF($M222&lt;=TODAY()+7,"THIS WEEK","LATER"))))</f>
        <v/>
      </c>
      <c r="O222" s="17" t="n"/>
      <c r="P222" s="17" t="n"/>
    </row>
    <row r="223">
      <c r="A223" s="17" t="n"/>
      <c r="B223" s="18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8" t="n"/>
      <c r="L223" s="6">
        <f>IF($J223="","",IFERROR(INDEX(Cadence!$B$4:$B$13,MATCH($J223,Cadence!$A$4:$A$13,0)),""))</f>
        <v/>
      </c>
      <c r="M223" s="19">
        <f>IF($J223="","",IFERROR(IF($K223="",$B223,$K223)+INDEX(Cadence!$C$4:$C$13,MATCH($J223,Cadence!$A$4:$A$13,0)),""))</f>
        <v/>
      </c>
      <c r="N223" s="20">
        <f>IF($M223="","",IF($M223&lt;TODAY(),"OVERDUE",IF($M223=TODAY(),"DUE TODAY",IF($M223&lt;=TODAY()+7,"THIS WEEK","LATER"))))</f>
        <v/>
      </c>
      <c r="O223" s="17" t="n"/>
      <c r="P223" s="17" t="n"/>
    </row>
    <row r="224">
      <c r="A224" s="17" t="n"/>
      <c r="B224" s="18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6">
        <f>IF($J224="","",IFERROR(INDEX(Cadence!$B$4:$B$13,MATCH($J224,Cadence!$A$4:$A$13,0)),""))</f>
        <v/>
      </c>
      <c r="M224" s="19">
        <f>IF($J224="","",IFERROR(IF($K224="",$B224,$K224)+INDEX(Cadence!$C$4:$C$13,MATCH($J224,Cadence!$A$4:$A$13,0)),""))</f>
        <v/>
      </c>
      <c r="N224" s="20">
        <f>IF($M224="","",IF($M224&lt;TODAY(),"OVERDUE",IF($M224=TODAY(),"DUE TODAY",IF($M224&lt;=TODAY()+7,"THIS WEEK","LATER"))))</f>
        <v/>
      </c>
      <c r="O224" s="17" t="n"/>
      <c r="P224" s="17" t="n"/>
    </row>
    <row r="225">
      <c r="A225" s="17" t="n"/>
      <c r="B225" s="18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8" t="n"/>
      <c r="L225" s="6">
        <f>IF($J225="","",IFERROR(INDEX(Cadence!$B$4:$B$13,MATCH($J225,Cadence!$A$4:$A$13,0)),""))</f>
        <v/>
      </c>
      <c r="M225" s="19">
        <f>IF($J225="","",IFERROR(IF($K225="",$B225,$K225)+INDEX(Cadence!$C$4:$C$13,MATCH($J225,Cadence!$A$4:$A$13,0)),""))</f>
        <v/>
      </c>
      <c r="N225" s="20">
        <f>IF($M225="","",IF($M225&lt;TODAY(),"OVERDUE",IF($M225=TODAY(),"DUE TODAY",IF($M225&lt;=TODAY()+7,"THIS WEEK","LATER"))))</f>
        <v/>
      </c>
      <c r="O225" s="17" t="n"/>
      <c r="P225" s="17" t="n"/>
    </row>
    <row r="226">
      <c r="A226" s="17" t="n"/>
      <c r="B226" s="18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6">
        <f>IF($J226="","",IFERROR(INDEX(Cadence!$B$4:$B$13,MATCH($J226,Cadence!$A$4:$A$13,0)),""))</f>
        <v/>
      </c>
      <c r="M226" s="19">
        <f>IF($J226="","",IFERROR(IF($K226="",$B226,$K226)+INDEX(Cadence!$C$4:$C$13,MATCH($J226,Cadence!$A$4:$A$13,0)),""))</f>
        <v/>
      </c>
      <c r="N226" s="20">
        <f>IF($M226="","",IF($M226&lt;TODAY(),"OVERDUE",IF($M226=TODAY(),"DUE TODAY",IF($M226&lt;=TODAY()+7,"THIS WEEK","LATER"))))</f>
        <v/>
      </c>
      <c r="O226" s="17" t="n"/>
      <c r="P226" s="17" t="n"/>
    </row>
    <row r="227">
      <c r="A227" s="17" t="n"/>
      <c r="B227" s="18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8" t="n"/>
      <c r="L227" s="6">
        <f>IF($J227="","",IFERROR(INDEX(Cadence!$B$4:$B$13,MATCH($J227,Cadence!$A$4:$A$13,0)),""))</f>
        <v/>
      </c>
      <c r="M227" s="19">
        <f>IF($J227="","",IFERROR(IF($K227="",$B227,$K227)+INDEX(Cadence!$C$4:$C$13,MATCH($J227,Cadence!$A$4:$A$13,0)),""))</f>
        <v/>
      </c>
      <c r="N227" s="20">
        <f>IF($M227="","",IF($M227&lt;TODAY(),"OVERDUE",IF($M227=TODAY(),"DUE TODAY",IF($M227&lt;=TODAY()+7,"THIS WEEK","LATER"))))</f>
        <v/>
      </c>
      <c r="O227" s="17" t="n"/>
      <c r="P227" s="17" t="n"/>
    </row>
    <row r="228">
      <c r="A228" s="17" t="n"/>
      <c r="B228" s="18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6">
        <f>IF($J228="","",IFERROR(INDEX(Cadence!$B$4:$B$13,MATCH($J228,Cadence!$A$4:$A$13,0)),""))</f>
        <v/>
      </c>
      <c r="M228" s="19">
        <f>IF($J228="","",IFERROR(IF($K228="",$B228,$K228)+INDEX(Cadence!$C$4:$C$13,MATCH($J228,Cadence!$A$4:$A$13,0)),""))</f>
        <v/>
      </c>
      <c r="N228" s="20">
        <f>IF($M228="","",IF($M228&lt;TODAY(),"OVERDUE",IF($M228=TODAY(),"DUE TODAY",IF($M228&lt;=TODAY()+7,"THIS WEEK","LATER"))))</f>
        <v/>
      </c>
      <c r="O228" s="17" t="n"/>
      <c r="P228" s="17" t="n"/>
    </row>
    <row r="229">
      <c r="A229" s="17" t="n"/>
      <c r="B229" s="18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8" t="n"/>
      <c r="L229" s="6">
        <f>IF($J229="","",IFERROR(INDEX(Cadence!$B$4:$B$13,MATCH($J229,Cadence!$A$4:$A$13,0)),""))</f>
        <v/>
      </c>
      <c r="M229" s="19">
        <f>IF($J229="","",IFERROR(IF($K229="",$B229,$K229)+INDEX(Cadence!$C$4:$C$13,MATCH($J229,Cadence!$A$4:$A$13,0)),""))</f>
        <v/>
      </c>
      <c r="N229" s="20">
        <f>IF($M229="","",IF($M229&lt;TODAY(),"OVERDUE",IF($M229=TODAY(),"DUE TODAY",IF($M229&lt;=TODAY()+7,"THIS WEEK","LATER"))))</f>
        <v/>
      </c>
      <c r="O229" s="17" t="n"/>
      <c r="P229" s="17" t="n"/>
    </row>
    <row r="230">
      <c r="A230" s="17" t="n"/>
      <c r="B230" s="18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6">
        <f>IF($J230="","",IFERROR(INDEX(Cadence!$B$4:$B$13,MATCH($J230,Cadence!$A$4:$A$13,0)),""))</f>
        <v/>
      </c>
      <c r="M230" s="19">
        <f>IF($J230="","",IFERROR(IF($K230="",$B230,$K230)+INDEX(Cadence!$C$4:$C$13,MATCH($J230,Cadence!$A$4:$A$13,0)),""))</f>
        <v/>
      </c>
      <c r="N230" s="20">
        <f>IF($M230="","",IF($M230&lt;TODAY(),"OVERDUE",IF($M230=TODAY(),"DUE TODAY",IF($M230&lt;=TODAY()+7,"THIS WEEK","LATER"))))</f>
        <v/>
      </c>
      <c r="O230" s="17" t="n"/>
      <c r="P230" s="17" t="n"/>
    </row>
    <row r="231">
      <c r="A231" s="17" t="n"/>
      <c r="B231" s="18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8" t="n"/>
      <c r="L231" s="6">
        <f>IF($J231="","",IFERROR(INDEX(Cadence!$B$4:$B$13,MATCH($J231,Cadence!$A$4:$A$13,0)),""))</f>
        <v/>
      </c>
      <c r="M231" s="19">
        <f>IF($J231="","",IFERROR(IF($K231="",$B231,$K231)+INDEX(Cadence!$C$4:$C$13,MATCH($J231,Cadence!$A$4:$A$13,0)),""))</f>
        <v/>
      </c>
      <c r="N231" s="20">
        <f>IF($M231="","",IF($M231&lt;TODAY(),"OVERDUE",IF($M231=TODAY(),"DUE TODAY",IF($M231&lt;=TODAY()+7,"THIS WEEK","LATER"))))</f>
        <v/>
      </c>
      <c r="O231" s="17" t="n"/>
      <c r="P231" s="17" t="n"/>
    </row>
    <row r="232">
      <c r="A232" s="17" t="n"/>
      <c r="B232" s="18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6">
        <f>IF($J232="","",IFERROR(INDEX(Cadence!$B$4:$B$13,MATCH($J232,Cadence!$A$4:$A$13,0)),""))</f>
        <v/>
      </c>
      <c r="M232" s="19">
        <f>IF($J232="","",IFERROR(IF($K232="",$B232,$K232)+INDEX(Cadence!$C$4:$C$13,MATCH($J232,Cadence!$A$4:$A$13,0)),""))</f>
        <v/>
      </c>
      <c r="N232" s="20">
        <f>IF($M232="","",IF($M232&lt;TODAY(),"OVERDUE",IF($M232=TODAY(),"DUE TODAY",IF($M232&lt;=TODAY()+7,"THIS WEEK","LATER"))))</f>
        <v/>
      </c>
      <c r="O232" s="17" t="n"/>
      <c r="P232" s="17" t="n"/>
    </row>
    <row r="233">
      <c r="A233" s="17" t="n"/>
      <c r="B233" s="18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8" t="n"/>
      <c r="L233" s="6">
        <f>IF($J233="","",IFERROR(INDEX(Cadence!$B$4:$B$13,MATCH($J233,Cadence!$A$4:$A$13,0)),""))</f>
        <v/>
      </c>
      <c r="M233" s="19">
        <f>IF($J233="","",IFERROR(IF($K233="",$B233,$K233)+INDEX(Cadence!$C$4:$C$13,MATCH($J233,Cadence!$A$4:$A$13,0)),""))</f>
        <v/>
      </c>
      <c r="N233" s="20">
        <f>IF($M233="","",IF($M233&lt;TODAY(),"OVERDUE",IF($M233=TODAY(),"DUE TODAY",IF($M233&lt;=TODAY()+7,"THIS WEEK","LATER"))))</f>
        <v/>
      </c>
      <c r="O233" s="17" t="n"/>
      <c r="P233" s="17" t="n"/>
    </row>
    <row r="234">
      <c r="A234" s="17" t="n"/>
      <c r="B234" s="18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6">
        <f>IF($J234="","",IFERROR(INDEX(Cadence!$B$4:$B$13,MATCH($J234,Cadence!$A$4:$A$13,0)),""))</f>
        <v/>
      </c>
      <c r="M234" s="19">
        <f>IF($J234="","",IFERROR(IF($K234="",$B234,$K234)+INDEX(Cadence!$C$4:$C$13,MATCH($J234,Cadence!$A$4:$A$13,0)),""))</f>
        <v/>
      </c>
      <c r="N234" s="20">
        <f>IF($M234="","",IF($M234&lt;TODAY(),"OVERDUE",IF($M234=TODAY(),"DUE TODAY",IF($M234&lt;=TODAY()+7,"THIS WEEK","LATER"))))</f>
        <v/>
      </c>
      <c r="O234" s="17" t="n"/>
      <c r="P234" s="17" t="n"/>
    </row>
    <row r="235">
      <c r="A235" s="17" t="n"/>
      <c r="B235" s="18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8" t="n"/>
      <c r="L235" s="6">
        <f>IF($J235="","",IFERROR(INDEX(Cadence!$B$4:$B$13,MATCH($J235,Cadence!$A$4:$A$13,0)),""))</f>
        <v/>
      </c>
      <c r="M235" s="19">
        <f>IF($J235="","",IFERROR(IF($K235="",$B235,$K235)+INDEX(Cadence!$C$4:$C$13,MATCH($J235,Cadence!$A$4:$A$13,0)),""))</f>
        <v/>
      </c>
      <c r="N235" s="20">
        <f>IF($M235="","",IF($M235&lt;TODAY(),"OVERDUE",IF($M235=TODAY(),"DUE TODAY",IF($M235&lt;=TODAY()+7,"THIS WEEK","LATER"))))</f>
        <v/>
      </c>
      <c r="O235" s="17" t="n"/>
      <c r="P235" s="17" t="n"/>
    </row>
    <row r="236">
      <c r="A236" s="17" t="n"/>
      <c r="B236" s="18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6">
        <f>IF($J236="","",IFERROR(INDEX(Cadence!$B$4:$B$13,MATCH($J236,Cadence!$A$4:$A$13,0)),""))</f>
        <v/>
      </c>
      <c r="M236" s="19">
        <f>IF($J236="","",IFERROR(IF($K236="",$B236,$K236)+INDEX(Cadence!$C$4:$C$13,MATCH($J236,Cadence!$A$4:$A$13,0)),""))</f>
        <v/>
      </c>
      <c r="N236" s="20">
        <f>IF($M236="","",IF($M236&lt;TODAY(),"OVERDUE",IF($M236=TODAY(),"DUE TODAY",IF($M236&lt;=TODAY()+7,"THIS WEEK","LATER"))))</f>
        <v/>
      </c>
      <c r="O236" s="17" t="n"/>
      <c r="P236" s="17" t="n"/>
    </row>
    <row r="237">
      <c r="A237" s="17" t="n"/>
      <c r="B237" s="18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8" t="n"/>
      <c r="L237" s="6">
        <f>IF($J237="","",IFERROR(INDEX(Cadence!$B$4:$B$13,MATCH($J237,Cadence!$A$4:$A$13,0)),""))</f>
        <v/>
      </c>
      <c r="M237" s="19">
        <f>IF($J237="","",IFERROR(IF($K237="",$B237,$K237)+INDEX(Cadence!$C$4:$C$13,MATCH($J237,Cadence!$A$4:$A$13,0)),""))</f>
        <v/>
      </c>
      <c r="N237" s="20">
        <f>IF($M237="","",IF($M237&lt;TODAY(),"OVERDUE",IF($M237=TODAY(),"DUE TODAY",IF($M237&lt;=TODAY()+7,"THIS WEEK","LATER"))))</f>
        <v/>
      </c>
      <c r="O237" s="17" t="n"/>
      <c r="P237" s="17" t="n"/>
    </row>
    <row r="238">
      <c r="A238" s="17" t="n"/>
      <c r="B238" s="18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6">
        <f>IF($J238="","",IFERROR(INDEX(Cadence!$B$4:$B$13,MATCH($J238,Cadence!$A$4:$A$13,0)),""))</f>
        <v/>
      </c>
      <c r="M238" s="19">
        <f>IF($J238="","",IFERROR(IF($K238="",$B238,$K238)+INDEX(Cadence!$C$4:$C$13,MATCH($J238,Cadence!$A$4:$A$13,0)),""))</f>
        <v/>
      </c>
      <c r="N238" s="20">
        <f>IF($M238="","",IF($M238&lt;TODAY(),"OVERDUE",IF($M238=TODAY(),"DUE TODAY",IF($M238&lt;=TODAY()+7,"THIS WEEK","LATER"))))</f>
        <v/>
      </c>
      <c r="O238" s="17" t="n"/>
      <c r="P238" s="17" t="n"/>
    </row>
    <row r="239">
      <c r="A239" s="17" t="n"/>
      <c r="B239" s="18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8" t="n"/>
      <c r="L239" s="6">
        <f>IF($J239="","",IFERROR(INDEX(Cadence!$B$4:$B$13,MATCH($J239,Cadence!$A$4:$A$13,0)),""))</f>
        <v/>
      </c>
      <c r="M239" s="19">
        <f>IF($J239="","",IFERROR(IF($K239="",$B239,$K239)+INDEX(Cadence!$C$4:$C$13,MATCH($J239,Cadence!$A$4:$A$13,0)),""))</f>
        <v/>
      </c>
      <c r="N239" s="20">
        <f>IF($M239="","",IF($M239&lt;TODAY(),"OVERDUE",IF($M239=TODAY(),"DUE TODAY",IF($M239&lt;=TODAY()+7,"THIS WEEK","LATER"))))</f>
        <v/>
      </c>
      <c r="O239" s="17" t="n"/>
      <c r="P239" s="17" t="n"/>
    </row>
    <row r="240">
      <c r="A240" s="17" t="n"/>
      <c r="B240" s="18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6">
        <f>IF($J240="","",IFERROR(INDEX(Cadence!$B$4:$B$13,MATCH($J240,Cadence!$A$4:$A$13,0)),""))</f>
        <v/>
      </c>
      <c r="M240" s="19">
        <f>IF($J240="","",IFERROR(IF($K240="",$B240,$K240)+INDEX(Cadence!$C$4:$C$13,MATCH($J240,Cadence!$A$4:$A$13,0)),""))</f>
        <v/>
      </c>
      <c r="N240" s="20">
        <f>IF($M240="","",IF($M240&lt;TODAY(),"OVERDUE",IF($M240=TODAY(),"DUE TODAY",IF($M240&lt;=TODAY()+7,"THIS WEEK","LATER"))))</f>
        <v/>
      </c>
      <c r="O240" s="17" t="n"/>
      <c r="P240" s="17" t="n"/>
    </row>
    <row r="241">
      <c r="A241" s="17" t="n"/>
      <c r="B241" s="18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8" t="n"/>
      <c r="L241" s="6">
        <f>IF($J241="","",IFERROR(INDEX(Cadence!$B$4:$B$13,MATCH($J241,Cadence!$A$4:$A$13,0)),""))</f>
        <v/>
      </c>
      <c r="M241" s="19">
        <f>IF($J241="","",IFERROR(IF($K241="",$B241,$K241)+INDEX(Cadence!$C$4:$C$13,MATCH($J241,Cadence!$A$4:$A$13,0)),""))</f>
        <v/>
      </c>
      <c r="N241" s="20">
        <f>IF($M241="","",IF($M241&lt;TODAY(),"OVERDUE",IF($M241=TODAY(),"DUE TODAY",IF($M241&lt;=TODAY()+7,"THIS WEEK","LATER"))))</f>
        <v/>
      </c>
      <c r="O241" s="17" t="n"/>
      <c r="P241" s="17" t="n"/>
    </row>
    <row r="242">
      <c r="A242" s="17" t="n"/>
      <c r="B242" s="18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6">
        <f>IF($J242="","",IFERROR(INDEX(Cadence!$B$4:$B$13,MATCH($J242,Cadence!$A$4:$A$13,0)),""))</f>
        <v/>
      </c>
      <c r="M242" s="19">
        <f>IF($J242="","",IFERROR(IF($K242="",$B242,$K242)+INDEX(Cadence!$C$4:$C$13,MATCH($J242,Cadence!$A$4:$A$13,0)),""))</f>
        <v/>
      </c>
      <c r="N242" s="20">
        <f>IF($M242="","",IF($M242&lt;TODAY(),"OVERDUE",IF($M242=TODAY(),"DUE TODAY",IF($M242&lt;=TODAY()+7,"THIS WEEK","LATER"))))</f>
        <v/>
      </c>
      <c r="O242" s="17" t="n"/>
      <c r="P242" s="17" t="n"/>
    </row>
    <row r="243">
      <c r="A243" s="17" t="n"/>
      <c r="B243" s="18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8" t="n"/>
      <c r="L243" s="6">
        <f>IF($J243="","",IFERROR(INDEX(Cadence!$B$4:$B$13,MATCH($J243,Cadence!$A$4:$A$13,0)),""))</f>
        <v/>
      </c>
      <c r="M243" s="19">
        <f>IF($J243="","",IFERROR(IF($K243="",$B243,$K243)+INDEX(Cadence!$C$4:$C$13,MATCH($J243,Cadence!$A$4:$A$13,0)),""))</f>
        <v/>
      </c>
      <c r="N243" s="20">
        <f>IF($M243="","",IF($M243&lt;TODAY(),"OVERDUE",IF($M243=TODAY(),"DUE TODAY",IF($M243&lt;=TODAY()+7,"THIS WEEK","LATER"))))</f>
        <v/>
      </c>
      <c r="O243" s="17" t="n"/>
      <c r="P243" s="17" t="n"/>
    </row>
    <row r="244">
      <c r="A244" s="17" t="n"/>
      <c r="B244" s="18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6">
        <f>IF($J244="","",IFERROR(INDEX(Cadence!$B$4:$B$13,MATCH($J244,Cadence!$A$4:$A$13,0)),""))</f>
        <v/>
      </c>
      <c r="M244" s="19">
        <f>IF($J244="","",IFERROR(IF($K244="",$B244,$K244)+INDEX(Cadence!$C$4:$C$13,MATCH($J244,Cadence!$A$4:$A$13,0)),""))</f>
        <v/>
      </c>
      <c r="N244" s="20">
        <f>IF($M244="","",IF($M244&lt;TODAY(),"OVERDUE",IF($M244=TODAY(),"DUE TODAY",IF($M244&lt;=TODAY()+7,"THIS WEEK","LATER"))))</f>
        <v/>
      </c>
      <c r="O244" s="17" t="n"/>
      <c r="P244" s="17" t="n"/>
    </row>
    <row r="245">
      <c r="A245" s="17" t="n"/>
      <c r="B245" s="18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8" t="n"/>
      <c r="L245" s="6">
        <f>IF($J245="","",IFERROR(INDEX(Cadence!$B$4:$B$13,MATCH($J245,Cadence!$A$4:$A$13,0)),""))</f>
        <v/>
      </c>
      <c r="M245" s="19">
        <f>IF($J245="","",IFERROR(IF($K245="",$B245,$K245)+INDEX(Cadence!$C$4:$C$13,MATCH($J245,Cadence!$A$4:$A$13,0)),""))</f>
        <v/>
      </c>
      <c r="N245" s="20">
        <f>IF($M245="","",IF($M245&lt;TODAY(),"OVERDUE",IF($M245=TODAY(),"DUE TODAY",IF($M245&lt;=TODAY()+7,"THIS WEEK","LATER"))))</f>
        <v/>
      </c>
      <c r="O245" s="17" t="n"/>
      <c r="P245" s="17" t="n"/>
    </row>
    <row r="246">
      <c r="A246" s="17" t="n"/>
      <c r="B246" s="18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6">
        <f>IF($J246="","",IFERROR(INDEX(Cadence!$B$4:$B$13,MATCH($J246,Cadence!$A$4:$A$13,0)),""))</f>
        <v/>
      </c>
      <c r="M246" s="19">
        <f>IF($J246="","",IFERROR(IF($K246="",$B246,$K246)+INDEX(Cadence!$C$4:$C$13,MATCH($J246,Cadence!$A$4:$A$13,0)),""))</f>
        <v/>
      </c>
      <c r="N246" s="20">
        <f>IF($M246="","",IF($M246&lt;TODAY(),"OVERDUE",IF($M246=TODAY(),"DUE TODAY",IF($M246&lt;=TODAY()+7,"THIS WEEK","LATER"))))</f>
        <v/>
      </c>
      <c r="O246" s="17" t="n"/>
      <c r="P246" s="17" t="n"/>
    </row>
    <row r="247">
      <c r="A247" s="17" t="n"/>
      <c r="B247" s="18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8" t="n"/>
      <c r="L247" s="6">
        <f>IF($J247="","",IFERROR(INDEX(Cadence!$B$4:$B$13,MATCH($J247,Cadence!$A$4:$A$13,0)),""))</f>
        <v/>
      </c>
      <c r="M247" s="19">
        <f>IF($J247="","",IFERROR(IF($K247="",$B247,$K247)+INDEX(Cadence!$C$4:$C$13,MATCH($J247,Cadence!$A$4:$A$13,0)),""))</f>
        <v/>
      </c>
      <c r="N247" s="20">
        <f>IF($M247="","",IF($M247&lt;TODAY(),"OVERDUE",IF($M247=TODAY(),"DUE TODAY",IF($M247&lt;=TODAY()+7,"THIS WEEK","LATER"))))</f>
        <v/>
      </c>
      <c r="O247" s="17" t="n"/>
      <c r="P247" s="17" t="n"/>
    </row>
    <row r="248">
      <c r="A248" s="17" t="n"/>
      <c r="B248" s="18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6">
        <f>IF($J248="","",IFERROR(INDEX(Cadence!$B$4:$B$13,MATCH($J248,Cadence!$A$4:$A$13,0)),""))</f>
        <v/>
      </c>
      <c r="M248" s="19">
        <f>IF($J248="","",IFERROR(IF($K248="",$B248,$K248)+INDEX(Cadence!$C$4:$C$13,MATCH($J248,Cadence!$A$4:$A$13,0)),""))</f>
        <v/>
      </c>
      <c r="N248" s="20">
        <f>IF($M248="","",IF($M248&lt;TODAY(),"OVERDUE",IF($M248=TODAY(),"DUE TODAY",IF($M248&lt;=TODAY()+7,"THIS WEEK","LATER"))))</f>
        <v/>
      </c>
      <c r="O248" s="17" t="n"/>
      <c r="P248" s="17" t="n"/>
    </row>
    <row r="249">
      <c r="A249" s="17" t="n"/>
      <c r="B249" s="18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8" t="n"/>
      <c r="L249" s="6">
        <f>IF($J249="","",IFERROR(INDEX(Cadence!$B$4:$B$13,MATCH($J249,Cadence!$A$4:$A$13,0)),""))</f>
        <v/>
      </c>
      <c r="M249" s="19">
        <f>IF($J249="","",IFERROR(IF($K249="",$B249,$K249)+INDEX(Cadence!$C$4:$C$13,MATCH($J249,Cadence!$A$4:$A$13,0)),""))</f>
        <v/>
      </c>
      <c r="N249" s="20">
        <f>IF($M249="","",IF($M249&lt;TODAY(),"OVERDUE",IF($M249=TODAY(),"DUE TODAY",IF($M249&lt;=TODAY()+7,"THIS WEEK","LATER"))))</f>
        <v/>
      </c>
      <c r="O249" s="17" t="n"/>
      <c r="P249" s="17" t="n"/>
    </row>
    <row r="250">
      <c r="A250" s="17" t="n"/>
      <c r="B250" s="18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6">
        <f>IF($J250="","",IFERROR(INDEX(Cadence!$B$4:$B$13,MATCH($J250,Cadence!$A$4:$A$13,0)),""))</f>
        <v/>
      </c>
      <c r="M250" s="19">
        <f>IF($J250="","",IFERROR(IF($K250="",$B250,$K250)+INDEX(Cadence!$C$4:$C$13,MATCH($J250,Cadence!$A$4:$A$13,0)),""))</f>
        <v/>
      </c>
      <c r="N250" s="20">
        <f>IF($M250="","",IF($M250&lt;TODAY(),"OVERDUE",IF($M250=TODAY(),"DUE TODAY",IF($M250&lt;=TODAY()+7,"THIS WEEK","LATER"))))</f>
        <v/>
      </c>
      <c r="O250" s="17" t="n"/>
      <c r="P250" s="17" t="n"/>
    </row>
    <row r="251">
      <c r="A251" s="17" t="n"/>
      <c r="B251" s="18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8" t="n"/>
      <c r="L251" s="6">
        <f>IF($J251="","",IFERROR(INDEX(Cadence!$B$4:$B$13,MATCH($J251,Cadence!$A$4:$A$13,0)),""))</f>
        <v/>
      </c>
      <c r="M251" s="19">
        <f>IF($J251="","",IFERROR(IF($K251="",$B251,$K251)+INDEX(Cadence!$C$4:$C$13,MATCH($J251,Cadence!$A$4:$A$13,0)),""))</f>
        <v/>
      </c>
      <c r="N251" s="20">
        <f>IF($M251="","",IF($M251&lt;TODAY(),"OVERDUE",IF($M251=TODAY(),"DUE TODAY",IF($M251&lt;=TODAY()+7,"THIS WEEK","LATER"))))</f>
        <v/>
      </c>
      <c r="O251" s="17" t="n"/>
      <c r="P251" s="17" t="n"/>
    </row>
    <row r="252">
      <c r="A252" s="17" t="n"/>
      <c r="B252" s="18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6">
        <f>IF($J252="","",IFERROR(INDEX(Cadence!$B$4:$B$13,MATCH($J252,Cadence!$A$4:$A$13,0)),""))</f>
        <v/>
      </c>
      <c r="M252" s="19">
        <f>IF($J252="","",IFERROR(IF($K252="",$B252,$K252)+INDEX(Cadence!$C$4:$C$13,MATCH($J252,Cadence!$A$4:$A$13,0)),""))</f>
        <v/>
      </c>
      <c r="N252" s="20">
        <f>IF($M252="","",IF($M252&lt;TODAY(),"OVERDUE",IF($M252=TODAY(),"DUE TODAY",IF($M252&lt;=TODAY()+7,"THIS WEEK","LATER"))))</f>
        <v/>
      </c>
      <c r="O252" s="17" t="n"/>
      <c r="P252" s="17" t="n"/>
    </row>
    <row r="253">
      <c r="A253" s="17" t="n"/>
      <c r="B253" s="18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8" t="n"/>
      <c r="L253" s="6">
        <f>IF($J253="","",IFERROR(INDEX(Cadence!$B$4:$B$13,MATCH($J253,Cadence!$A$4:$A$13,0)),""))</f>
        <v/>
      </c>
      <c r="M253" s="19">
        <f>IF($J253="","",IFERROR(IF($K253="",$B253,$K253)+INDEX(Cadence!$C$4:$C$13,MATCH($J253,Cadence!$A$4:$A$13,0)),""))</f>
        <v/>
      </c>
      <c r="N253" s="20">
        <f>IF($M253="","",IF($M253&lt;TODAY(),"OVERDUE",IF($M253=TODAY(),"DUE TODAY",IF($M253&lt;=TODAY()+7,"THIS WEEK","LATER"))))</f>
        <v/>
      </c>
      <c r="O253" s="17" t="n"/>
      <c r="P253" s="17" t="n"/>
    </row>
    <row r="254">
      <c r="A254" s="17" t="n"/>
      <c r="B254" s="18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6">
        <f>IF($J254="","",IFERROR(INDEX(Cadence!$B$4:$B$13,MATCH($J254,Cadence!$A$4:$A$13,0)),""))</f>
        <v/>
      </c>
      <c r="M254" s="19">
        <f>IF($J254="","",IFERROR(IF($K254="",$B254,$K254)+INDEX(Cadence!$C$4:$C$13,MATCH($J254,Cadence!$A$4:$A$13,0)),""))</f>
        <v/>
      </c>
      <c r="N254" s="20">
        <f>IF($M254="","",IF($M254&lt;TODAY(),"OVERDUE",IF($M254=TODAY(),"DUE TODAY",IF($M254&lt;=TODAY()+7,"THIS WEEK","LATER"))))</f>
        <v/>
      </c>
      <c r="O254" s="17" t="n"/>
      <c r="P254" s="17" t="n"/>
    </row>
    <row r="255">
      <c r="A255" s="17" t="n"/>
      <c r="B255" s="18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8" t="n"/>
      <c r="L255" s="6">
        <f>IF($J255="","",IFERROR(INDEX(Cadence!$B$4:$B$13,MATCH($J255,Cadence!$A$4:$A$13,0)),""))</f>
        <v/>
      </c>
      <c r="M255" s="19">
        <f>IF($J255="","",IFERROR(IF($K255="",$B255,$K255)+INDEX(Cadence!$C$4:$C$13,MATCH($J255,Cadence!$A$4:$A$13,0)),""))</f>
        <v/>
      </c>
      <c r="N255" s="20">
        <f>IF($M255="","",IF($M255&lt;TODAY(),"OVERDUE",IF($M255=TODAY(),"DUE TODAY",IF($M255&lt;=TODAY()+7,"THIS WEEK","LATER"))))</f>
        <v/>
      </c>
      <c r="O255" s="17" t="n"/>
      <c r="P255" s="17" t="n"/>
    </row>
    <row r="256">
      <c r="A256" s="17" t="n"/>
      <c r="B256" s="18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6">
        <f>IF($J256="","",IFERROR(INDEX(Cadence!$B$4:$B$13,MATCH($J256,Cadence!$A$4:$A$13,0)),""))</f>
        <v/>
      </c>
      <c r="M256" s="19">
        <f>IF($J256="","",IFERROR(IF($K256="",$B256,$K256)+INDEX(Cadence!$C$4:$C$13,MATCH($J256,Cadence!$A$4:$A$13,0)),""))</f>
        <v/>
      </c>
      <c r="N256" s="20">
        <f>IF($M256="","",IF($M256&lt;TODAY(),"OVERDUE",IF($M256=TODAY(),"DUE TODAY",IF($M256&lt;=TODAY()+7,"THIS WEEK","LATER"))))</f>
        <v/>
      </c>
      <c r="O256" s="17" t="n"/>
      <c r="P256" s="17" t="n"/>
    </row>
    <row r="257">
      <c r="A257" s="17" t="n"/>
      <c r="B257" s="18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8" t="n"/>
      <c r="L257" s="6">
        <f>IF($J257="","",IFERROR(INDEX(Cadence!$B$4:$B$13,MATCH($J257,Cadence!$A$4:$A$13,0)),""))</f>
        <v/>
      </c>
      <c r="M257" s="19">
        <f>IF($J257="","",IFERROR(IF($K257="",$B257,$K257)+INDEX(Cadence!$C$4:$C$13,MATCH($J257,Cadence!$A$4:$A$13,0)),""))</f>
        <v/>
      </c>
      <c r="N257" s="20">
        <f>IF($M257="","",IF($M257&lt;TODAY(),"OVERDUE",IF($M257=TODAY(),"DUE TODAY",IF($M257&lt;=TODAY()+7,"THIS WEEK","LATER"))))</f>
        <v/>
      </c>
      <c r="O257" s="17" t="n"/>
      <c r="P257" s="17" t="n"/>
    </row>
    <row r="258">
      <c r="A258" s="17" t="n"/>
      <c r="B258" s="18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6">
        <f>IF($J258="","",IFERROR(INDEX(Cadence!$B$4:$B$13,MATCH($J258,Cadence!$A$4:$A$13,0)),""))</f>
        <v/>
      </c>
      <c r="M258" s="19">
        <f>IF($J258="","",IFERROR(IF($K258="",$B258,$K258)+INDEX(Cadence!$C$4:$C$13,MATCH($J258,Cadence!$A$4:$A$13,0)),""))</f>
        <v/>
      </c>
      <c r="N258" s="20">
        <f>IF($M258="","",IF($M258&lt;TODAY(),"OVERDUE",IF($M258=TODAY(),"DUE TODAY",IF($M258&lt;=TODAY()+7,"THIS WEEK","LATER"))))</f>
        <v/>
      </c>
      <c r="O258" s="17" t="n"/>
      <c r="P258" s="17" t="n"/>
    </row>
    <row r="259">
      <c r="A259" s="17" t="n"/>
      <c r="B259" s="18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8" t="n"/>
      <c r="L259" s="6">
        <f>IF($J259="","",IFERROR(INDEX(Cadence!$B$4:$B$13,MATCH($J259,Cadence!$A$4:$A$13,0)),""))</f>
        <v/>
      </c>
      <c r="M259" s="19">
        <f>IF($J259="","",IFERROR(IF($K259="",$B259,$K259)+INDEX(Cadence!$C$4:$C$13,MATCH($J259,Cadence!$A$4:$A$13,0)),""))</f>
        <v/>
      </c>
      <c r="N259" s="20">
        <f>IF($M259="","",IF($M259&lt;TODAY(),"OVERDUE",IF($M259=TODAY(),"DUE TODAY",IF($M259&lt;=TODAY()+7,"THIS WEEK","LATER"))))</f>
        <v/>
      </c>
      <c r="O259" s="17" t="n"/>
      <c r="P259" s="17" t="n"/>
    </row>
    <row r="260">
      <c r="A260" s="17" t="n"/>
      <c r="B260" s="18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6">
        <f>IF($J260="","",IFERROR(INDEX(Cadence!$B$4:$B$13,MATCH($J260,Cadence!$A$4:$A$13,0)),""))</f>
        <v/>
      </c>
      <c r="M260" s="19">
        <f>IF($J260="","",IFERROR(IF($K260="",$B260,$K260)+INDEX(Cadence!$C$4:$C$13,MATCH($J260,Cadence!$A$4:$A$13,0)),""))</f>
        <v/>
      </c>
      <c r="N260" s="20">
        <f>IF($M260="","",IF($M260&lt;TODAY(),"OVERDUE",IF($M260=TODAY(),"DUE TODAY",IF($M260&lt;=TODAY()+7,"THIS WEEK","LATER"))))</f>
        <v/>
      </c>
      <c r="O260" s="17" t="n"/>
      <c r="P260" s="17" t="n"/>
    </row>
    <row r="261">
      <c r="A261" s="17" t="n"/>
      <c r="B261" s="18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8" t="n"/>
      <c r="L261" s="6">
        <f>IF($J261="","",IFERROR(INDEX(Cadence!$B$4:$B$13,MATCH($J261,Cadence!$A$4:$A$13,0)),""))</f>
        <v/>
      </c>
      <c r="M261" s="19">
        <f>IF($J261="","",IFERROR(IF($K261="",$B261,$K261)+INDEX(Cadence!$C$4:$C$13,MATCH($J261,Cadence!$A$4:$A$13,0)),""))</f>
        <v/>
      </c>
      <c r="N261" s="20">
        <f>IF($M261="","",IF($M261&lt;TODAY(),"OVERDUE",IF($M261=TODAY(),"DUE TODAY",IF($M261&lt;=TODAY()+7,"THIS WEEK","LATER"))))</f>
        <v/>
      </c>
      <c r="O261" s="17" t="n"/>
      <c r="P261" s="17" t="n"/>
    </row>
    <row r="262">
      <c r="A262" s="17" t="n"/>
      <c r="B262" s="18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6">
        <f>IF($J262="","",IFERROR(INDEX(Cadence!$B$4:$B$13,MATCH($J262,Cadence!$A$4:$A$13,0)),""))</f>
        <v/>
      </c>
      <c r="M262" s="19">
        <f>IF($J262="","",IFERROR(IF($K262="",$B262,$K262)+INDEX(Cadence!$C$4:$C$13,MATCH($J262,Cadence!$A$4:$A$13,0)),""))</f>
        <v/>
      </c>
      <c r="N262" s="20">
        <f>IF($M262="","",IF($M262&lt;TODAY(),"OVERDUE",IF($M262=TODAY(),"DUE TODAY",IF($M262&lt;=TODAY()+7,"THIS WEEK","LATER"))))</f>
        <v/>
      </c>
      <c r="O262" s="17" t="n"/>
      <c r="P262" s="17" t="n"/>
    </row>
    <row r="263">
      <c r="A263" s="17" t="n"/>
      <c r="B263" s="18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8" t="n"/>
      <c r="L263" s="6">
        <f>IF($J263="","",IFERROR(INDEX(Cadence!$B$4:$B$13,MATCH($J263,Cadence!$A$4:$A$13,0)),""))</f>
        <v/>
      </c>
      <c r="M263" s="19">
        <f>IF($J263="","",IFERROR(IF($K263="",$B263,$K263)+INDEX(Cadence!$C$4:$C$13,MATCH($J263,Cadence!$A$4:$A$13,0)),""))</f>
        <v/>
      </c>
      <c r="N263" s="20">
        <f>IF($M263="","",IF($M263&lt;TODAY(),"OVERDUE",IF($M263=TODAY(),"DUE TODAY",IF($M263&lt;=TODAY()+7,"THIS WEEK","LATER"))))</f>
        <v/>
      </c>
      <c r="O263" s="17" t="n"/>
      <c r="P263" s="17" t="n"/>
    </row>
    <row r="264">
      <c r="A264" s="17" t="n"/>
      <c r="B264" s="18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6">
        <f>IF($J264="","",IFERROR(INDEX(Cadence!$B$4:$B$13,MATCH($J264,Cadence!$A$4:$A$13,0)),""))</f>
        <v/>
      </c>
      <c r="M264" s="19">
        <f>IF($J264="","",IFERROR(IF($K264="",$B264,$K264)+INDEX(Cadence!$C$4:$C$13,MATCH($J264,Cadence!$A$4:$A$13,0)),""))</f>
        <v/>
      </c>
      <c r="N264" s="20">
        <f>IF($M264="","",IF($M264&lt;TODAY(),"OVERDUE",IF($M264=TODAY(),"DUE TODAY",IF($M264&lt;=TODAY()+7,"THIS WEEK","LATER"))))</f>
        <v/>
      </c>
      <c r="O264" s="17" t="n"/>
      <c r="P264" s="17" t="n"/>
    </row>
    <row r="265">
      <c r="A265" s="17" t="n"/>
      <c r="B265" s="18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8" t="n"/>
      <c r="L265" s="6">
        <f>IF($J265="","",IFERROR(INDEX(Cadence!$B$4:$B$13,MATCH($J265,Cadence!$A$4:$A$13,0)),""))</f>
        <v/>
      </c>
      <c r="M265" s="19">
        <f>IF($J265="","",IFERROR(IF($K265="",$B265,$K265)+INDEX(Cadence!$C$4:$C$13,MATCH($J265,Cadence!$A$4:$A$13,0)),""))</f>
        <v/>
      </c>
      <c r="N265" s="20">
        <f>IF($M265="","",IF($M265&lt;TODAY(),"OVERDUE",IF($M265=TODAY(),"DUE TODAY",IF($M265&lt;=TODAY()+7,"THIS WEEK","LATER"))))</f>
        <v/>
      </c>
      <c r="O265" s="17" t="n"/>
      <c r="P265" s="17" t="n"/>
    </row>
    <row r="266">
      <c r="A266" s="17" t="n"/>
      <c r="B266" s="18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6">
        <f>IF($J266="","",IFERROR(INDEX(Cadence!$B$4:$B$13,MATCH($J266,Cadence!$A$4:$A$13,0)),""))</f>
        <v/>
      </c>
      <c r="M266" s="19">
        <f>IF($J266="","",IFERROR(IF($K266="",$B266,$K266)+INDEX(Cadence!$C$4:$C$13,MATCH($J266,Cadence!$A$4:$A$13,0)),""))</f>
        <v/>
      </c>
      <c r="N266" s="20">
        <f>IF($M266="","",IF($M266&lt;TODAY(),"OVERDUE",IF($M266=TODAY(),"DUE TODAY",IF($M266&lt;=TODAY()+7,"THIS WEEK","LATER"))))</f>
        <v/>
      </c>
      <c r="O266" s="17" t="n"/>
      <c r="P266" s="17" t="n"/>
    </row>
    <row r="267">
      <c r="A267" s="17" t="n"/>
      <c r="B267" s="18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8" t="n"/>
      <c r="L267" s="6">
        <f>IF($J267="","",IFERROR(INDEX(Cadence!$B$4:$B$13,MATCH($J267,Cadence!$A$4:$A$13,0)),""))</f>
        <v/>
      </c>
      <c r="M267" s="19">
        <f>IF($J267="","",IFERROR(IF($K267="",$B267,$K267)+INDEX(Cadence!$C$4:$C$13,MATCH($J267,Cadence!$A$4:$A$13,0)),""))</f>
        <v/>
      </c>
      <c r="N267" s="20">
        <f>IF($M267="","",IF($M267&lt;TODAY(),"OVERDUE",IF($M267=TODAY(),"DUE TODAY",IF($M267&lt;=TODAY()+7,"THIS WEEK","LATER"))))</f>
        <v/>
      </c>
      <c r="O267" s="17" t="n"/>
      <c r="P267" s="17" t="n"/>
    </row>
    <row r="268">
      <c r="A268" s="17" t="n"/>
      <c r="B268" s="18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6">
        <f>IF($J268="","",IFERROR(INDEX(Cadence!$B$4:$B$13,MATCH($J268,Cadence!$A$4:$A$13,0)),""))</f>
        <v/>
      </c>
      <c r="M268" s="19">
        <f>IF($J268="","",IFERROR(IF($K268="",$B268,$K268)+INDEX(Cadence!$C$4:$C$13,MATCH($J268,Cadence!$A$4:$A$13,0)),""))</f>
        <v/>
      </c>
      <c r="N268" s="20">
        <f>IF($M268="","",IF($M268&lt;TODAY(),"OVERDUE",IF($M268=TODAY(),"DUE TODAY",IF($M268&lt;=TODAY()+7,"THIS WEEK","LATER"))))</f>
        <v/>
      </c>
      <c r="O268" s="17" t="n"/>
      <c r="P268" s="17" t="n"/>
    </row>
    <row r="269">
      <c r="A269" s="17" t="n"/>
      <c r="B269" s="18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8" t="n"/>
      <c r="L269" s="6">
        <f>IF($J269="","",IFERROR(INDEX(Cadence!$B$4:$B$13,MATCH($J269,Cadence!$A$4:$A$13,0)),""))</f>
        <v/>
      </c>
      <c r="M269" s="19">
        <f>IF($J269="","",IFERROR(IF($K269="",$B269,$K269)+INDEX(Cadence!$C$4:$C$13,MATCH($J269,Cadence!$A$4:$A$13,0)),""))</f>
        <v/>
      </c>
      <c r="N269" s="20">
        <f>IF($M269="","",IF($M269&lt;TODAY(),"OVERDUE",IF($M269=TODAY(),"DUE TODAY",IF($M269&lt;=TODAY()+7,"THIS WEEK","LATER"))))</f>
        <v/>
      </c>
      <c r="O269" s="17" t="n"/>
      <c r="P269" s="17" t="n"/>
    </row>
    <row r="270">
      <c r="A270" s="17" t="n"/>
      <c r="B270" s="18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6">
        <f>IF($J270="","",IFERROR(INDEX(Cadence!$B$4:$B$13,MATCH($J270,Cadence!$A$4:$A$13,0)),""))</f>
        <v/>
      </c>
      <c r="M270" s="19">
        <f>IF($J270="","",IFERROR(IF($K270="",$B270,$K270)+INDEX(Cadence!$C$4:$C$13,MATCH($J270,Cadence!$A$4:$A$13,0)),""))</f>
        <v/>
      </c>
      <c r="N270" s="20">
        <f>IF($M270="","",IF($M270&lt;TODAY(),"OVERDUE",IF($M270=TODAY(),"DUE TODAY",IF($M270&lt;=TODAY()+7,"THIS WEEK","LATER"))))</f>
        <v/>
      </c>
      <c r="O270" s="17" t="n"/>
      <c r="P270" s="17" t="n"/>
    </row>
    <row r="271">
      <c r="A271" s="17" t="n"/>
      <c r="B271" s="18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8" t="n"/>
      <c r="L271" s="6">
        <f>IF($J271="","",IFERROR(INDEX(Cadence!$B$4:$B$13,MATCH($J271,Cadence!$A$4:$A$13,0)),""))</f>
        <v/>
      </c>
      <c r="M271" s="19">
        <f>IF($J271="","",IFERROR(IF($K271="",$B271,$K271)+INDEX(Cadence!$C$4:$C$13,MATCH($J271,Cadence!$A$4:$A$13,0)),""))</f>
        <v/>
      </c>
      <c r="N271" s="20">
        <f>IF($M271="","",IF($M271&lt;TODAY(),"OVERDUE",IF($M271=TODAY(),"DUE TODAY",IF($M271&lt;=TODAY()+7,"THIS WEEK","LATER"))))</f>
        <v/>
      </c>
      <c r="O271" s="17" t="n"/>
      <c r="P271" s="17" t="n"/>
    </row>
    <row r="272">
      <c r="A272" s="17" t="n"/>
      <c r="B272" s="18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6">
        <f>IF($J272="","",IFERROR(INDEX(Cadence!$B$4:$B$13,MATCH($J272,Cadence!$A$4:$A$13,0)),""))</f>
        <v/>
      </c>
      <c r="M272" s="19">
        <f>IF($J272="","",IFERROR(IF($K272="",$B272,$K272)+INDEX(Cadence!$C$4:$C$13,MATCH($J272,Cadence!$A$4:$A$13,0)),""))</f>
        <v/>
      </c>
      <c r="N272" s="20">
        <f>IF($M272="","",IF($M272&lt;TODAY(),"OVERDUE",IF($M272=TODAY(),"DUE TODAY",IF($M272&lt;=TODAY()+7,"THIS WEEK","LATER"))))</f>
        <v/>
      </c>
      <c r="O272" s="17" t="n"/>
      <c r="P272" s="17" t="n"/>
    </row>
    <row r="273">
      <c r="A273" s="17" t="n"/>
      <c r="B273" s="18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8" t="n"/>
      <c r="L273" s="6">
        <f>IF($J273="","",IFERROR(INDEX(Cadence!$B$4:$B$13,MATCH($J273,Cadence!$A$4:$A$13,0)),""))</f>
        <v/>
      </c>
      <c r="M273" s="19">
        <f>IF($J273="","",IFERROR(IF($K273="",$B273,$K273)+INDEX(Cadence!$C$4:$C$13,MATCH($J273,Cadence!$A$4:$A$13,0)),""))</f>
        <v/>
      </c>
      <c r="N273" s="20">
        <f>IF($M273="","",IF($M273&lt;TODAY(),"OVERDUE",IF($M273=TODAY(),"DUE TODAY",IF($M273&lt;=TODAY()+7,"THIS WEEK","LATER"))))</f>
        <v/>
      </c>
      <c r="O273" s="17" t="n"/>
      <c r="P273" s="17" t="n"/>
    </row>
    <row r="274">
      <c r="A274" s="17" t="n"/>
      <c r="B274" s="18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6">
        <f>IF($J274="","",IFERROR(INDEX(Cadence!$B$4:$B$13,MATCH($J274,Cadence!$A$4:$A$13,0)),""))</f>
        <v/>
      </c>
      <c r="M274" s="19">
        <f>IF($J274="","",IFERROR(IF($K274="",$B274,$K274)+INDEX(Cadence!$C$4:$C$13,MATCH($J274,Cadence!$A$4:$A$13,0)),""))</f>
        <v/>
      </c>
      <c r="N274" s="20">
        <f>IF($M274="","",IF($M274&lt;TODAY(),"OVERDUE",IF($M274=TODAY(),"DUE TODAY",IF($M274&lt;=TODAY()+7,"THIS WEEK","LATER"))))</f>
        <v/>
      </c>
      <c r="O274" s="17" t="n"/>
      <c r="P274" s="17" t="n"/>
    </row>
    <row r="275">
      <c r="A275" s="17" t="n"/>
      <c r="B275" s="18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8" t="n"/>
      <c r="L275" s="6">
        <f>IF($J275="","",IFERROR(INDEX(Cadence!$B$4:$B$13,MATCH($J275,Cadence!$A$4:$A$13,0)),""))</f>
        <v/>
      </c>
      <c r="M275" s="19">
        <f>IF($J275="","",IFERROR(IF($K275="",$B275,$K275)+INDEX(Cadence!$C$4:$C$13,MATCH($J275,Cadence!$A$4:$A$13,0)),""))</f>
        <v/>
      </c>
      <c r="N275" s="20">
        <f>IF($M275="","",IF($M275&lt;TODAY(),"OVERDUE",IF($M275=TODAY(),"DUE TODAY",IF($M275&lt;=TODAY()+7,"THIS WEEK","LATER"))))</f>
        <v/>
      </c>
      <c r="O275" s="17" t="n"/>
      <c r="P275" s="17" t="n"/>
    </row>
    <row r="276">
      <c r="A276" s="17" t="n"/>
      <c r="B276" s="18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6">
        <f>IF($J276="","",IFERROR(INDEX(Cadence!$B$4:$B$13,MATCH($J276,Cadence!$A$4:$A$13,0)),""))</f>
        <v/>
      </c>
      <c r="M276" s="19">
        <f>IF($J276="","",IFERROR(IF($K276="",$B276,$K276)+INDEX(Cadence!$C$4:$C$13,MATCH($J276,Cadence!$A$4:$A$13,0)),""))</f>
        <v/>
      </c>
      <c r="N276" s="20">
        <f>IF($M276="","",IF($M276&lt;TODAY(),"OVERDUE",IF($M276=TODAY(),"DUE TODAY",IF($M276&lt;=TODAY()+7,"THIS WEEK","LATER"))))</f>
        <v/>
      </c>
      <c r="O276" s="17" t="n"/>
      <c r="P276" s="17" t="n"/>
    </row>
    <row r="277">
      <c r="A277" s="17" t="n"/>
      <c r="B277" s="18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8" t="n"/>
      <c r="L277" s="6">
        <f>IF($J277="","",IFERROR(INDEX(Cadence!$B$4:$B$13,MATCH($J277,Cadence!$A$4:$A$13,0)),""))</f>
        <v/>
      </c>
      <c r="M277" s="19">
        <f>IF($J277="","",IFERROR(IF($K277="",$B277,$K277)+INDEX(Cadence!$C$4:$C$13,MATCH($J277,Cadence!$A$4:$A$13,0)),""))</f>
        <v/>
      </c>
      <c r="N277" s="20">
        <f>IF($M277="","",IF($M277&lt;TODAY(),"OVERDUE",IF($M277=TODAY(),"DUE TODAY",IF($M277&lt;=TODAY()+7,"THIS WEEK","LATER"))))</f>
        <v/>
      </c>
      <c r="O277" s="17" t="n"/>
      <c r="P277" s="17" t="n"/>
    </row>
    <row r="278">
      <c r="A278" s="17" t="n"/>
      <c r="B278" s="18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6">
        <f>IF($J278="","",IFERROR(INDEX(Cadence!$B$4:$B$13,MATCH($J278,Cadence!$A$4:$A$13,0)),""))</f>
        <v/>
      </c>
      <c r="M278" s="19">
        <f>IF($J278="","",IFERROR(IF($K278="",$B278,$K278)+INDEX(Cadence!$C$4:$C$13,MATCH($J278,Cadence!$A$4:$A$13,0)),""))</f>
        <v/>
      </c>
      <c r="N278" s="20">
        <f>IF($M278="","",IF($M278&lt;TODAY(),"OVERDUE",IF($M278=TODAY(),"DUE TODAY",IF($M278&lt;=TODAY()+7,"THIS WEEK","LATER"))))</f>
        <v/>
      </c>
      <c r="O278" s="17" t="n"/>
      <c r="P278" s="17" t="n"/>
    </row>
    <row r="279">
      <c r="A279" s="17" t="n"/>
      <c r="B279" s="18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8" t="n"/>
      <c r="L279" s="6">
        <f>IF($J279="","",IFERROR(INDEX(Cadence!$B$4:$B$13,MATCH($J279,Cadence!$A$4:$A$13,0)),""))</f>
        <v/>
      </c>
      <c r="M279" s="19">
        <f>IF($J279="","",IFERROR(IF($K279="",$B279,$K279)+INDEX(Cadence!$C$4:$C$13,MATCH($J279,Cadence!$A$4:$A$13,0)),""))</f>
        <v/>
      </c>
      <c r="N279" s="20">
        <f>IF($M279="","",IF($M279&lt;TODAY(),"OVERDUE",IF($M279=TODAY(),"DUE TODAY",IF($M279&lt;=TODAY()+7,"THIS WEEK","LATER"))))</f>
        <v/>
      </c>
      <c r="O279" s="17" t="n"/>
      <c r="P279" s="17" t="n"/>
    </row>
    <row r="280">
      <c r="A280" s="17" t="n"/>
      <c r="B280" s="18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6">
        <f>IF($J280="","",IFERROR(INDEX(Cadence!$B$4:$B$13,MATCH($J280,Cadence!$A$4:$A$13,0)),""))</f>
        <v/>
      </c>
      <c r="M280" s="19">
        <f>IF($J280="","",IFERROR(IF($K280="",$B280,$K280)+INDEX(Cadence!$C$4:$C$13,MATCH($J280,Cadence!$A$4:$A$13,0)),""))</f>
        <v/>
      </c>
      <c r="N280" s="20">
        <f>IF($M280="","",IF($M280&lt;TODAY(),"OVERDUE",IF($M280=TODAY(),"DUE TODAY",IF($M280&lt;=TODAY()+7,"THIS WEEK","LATER"))))</f>
        <v/>
      </c>
      <c r="O280" s="17" t="n"/>
      <c r="P280" s="17" t="n"/>
    </row>
    <row r="281">
      <c r="A281" s="17" t="n"/>
      <c r="B281" s="18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8" t="n"/>
      <c r="L281" s="6">
        <f>IF($J281="","",IFERROR(INDEX(Cadence!$B$4:$B$13,MATCH($J281,Cadence!$A$4:$A$13,0)),""))</f>
        <v/>
      </c>
      <c r="M281" s="19">
        <f>IF($J281="","",IFERROR(IF($K281="",$B281,$K281)+INDEX(Cadence!$C$4:$C$13,MATCH($J281,Cadence!$A$4:$A$13,0)),""))</f>
        <v/>
      </c>
      <c r="N281" s="20">
        <f>IF($M281="","",IF($M281&lt;TODAY(),"OVERDUE",IF($M281=TODAY(),"DUE TODAY",IF($M281&lt;=TODAY()+7,"THIS WEEK","LATER"))))</f>
        <v/>
      </c>
      <c r="O281" s="17" t="n"/>
      <c r="P281" s="17" t="n"/>
    </row>
    <row r="282">
      <c r="A282" s="17" t="n"/>
      <c r="B282" s="18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6">
        <f>IF($J282="","",IFERROR(INDEX(Cadence!$B$4:$B$13,MATCH($J282,Cadence!$A$4:$A$13,0)),""))</f>
        <v/>
      </c>
      <c r="M282" s="19">
        <f>IF($J282="","",IFERROR(IF($K282="",$B282,$K282)+INDEX(Cadence!$C$4:$C$13,MATCH($J282,Cadence!$A$4:$A$13,0)),""))</f>
        <v/>
      </c>
      <c r="N282" s="20">
        <f>IF($M282="","",IF($M282&lt;TODAY(),"OVERDUE",IF($M282=TODAY(),"DUE TODAY",IF($M282&lt;=TODAY()+7,"THIS WEEK","LATER"))))</f>
        <v/>
      </c>
      <c r="O282" s="17" t="n"/>
      <c r="P282" s="17" t="n"/>
    </row>
    <row r="283">
      <c r="A283" s="17" t="n"/>
      <c r="B283" s="18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8" t="n"/>
      <c r="L283" s="6">
        <f>IF($J283="","",IFERROR(INDEX(Cadence!$B$4:$B$13,MATCH($J283,Cadence!$A$4:$A$13,0)),""))</f>
        <v/>
      </c>
      <c r="M283" s="19">
        <f>IF($J283="","",IFERROR(IF($K283="",$B283,$K283)+INDEX(Cadence!$C$4:$C$13,MATCH($J283,Cadence!$A$4:$A$13,0)),""))</f>
        <v/>
      </c>
      <c r="N283" s="20">
        <f>IF($M283="","",IF($M283&lt;TODAY(),"OVERDUE",IF($M283=TODAY(),"DUE TODAY",IF($M283&lt;=TODAY()+7,"THIS WEEK","LATER"))))</f>
        <v/>
      </c>
      <c r="O283" s="17" t="n"/>
      <c r="P283" s="17" t="n"/>
    </row>
    <row r="284">
      <c r="A284" s="17" t="n"/>
      <c r="B284" s="18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6">
        <f>IF($J284="","",IFERROR(INDEX(Cadence!$B$4:$B$13,MATCH($J284,Cadence!$A$4:$A$13,0)),""))</f>
        <v/>
      </c>
      <c r="M284" s="19">
        <f>IF($J284="","",IFERROR(IF($K284="",$B284,$K284)+INDEX(Cadence!$C$4:$C$13,MATCH($J284,Cadence!$A$4:$A$13,0)),""))</f>
        <v/>
      </c>
      <c r="N284" s="20">
        <f>IF($M284="","",IF($M284&lt;TODAY(),"OVERDUE",IF($M284=TODAY(),"DUE TODAY",IF($M284&lt;=TODAY()+7,"THIS WEEK","LATER"))))</f>
        <v/>
      </c>
      <c r="O284" s="17" t="n"/>
      <c r="P284" s="17" t="n"/>
    </row>
    <row r="285">
      <c r="A285" s="17" t="n"/>
      <c r="B285" s="18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8" t="n"/>
      <c r="L285" s="6">
        <f>IF($J285="","",IFERROR(INDEX(Cadence!$B$4:$B$13,MATCH($J285,Cadence!$A$4:$A$13,0)),""))</f>
        <v/>
      </c>
      <c r="M285" s="19">
        <f>IF($J285="","",IFERROR(IF($K285="",$B285,$K285)+INDEX(Cadence!$C$4:$C$13,MATCH($J285,Cadence!$A$4:$A$13,0)),""))</f>
        <v/>
      </c>
      <c r="N285" s="20">
        <f>IF($M285="","",IF($M285&lt;TODAY(),"OVERDUE",IF($M285=TODAY(),"DUE TODAY",IF($M285&lt;=TODAY()+7,"THIS WEEK","LATER"))))</f>
        <v/>
      </c>
      <c r="O285" s="17" t="n"/>
      <c r="P285" s="17" t="n"/>
    </row>
    <row r="286">
      <c r="A286" s="17" t="n"/>
      <c r="B286" s="18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6">
        <f>IF($J286="","",IFERROR(INDEX(Cadence!$B$4:$B$13,MATCH($J286,Cadence!$A$4:$A$13,0)),""))</f>
        <v/>
      </c>
      <c r="M286" s="19">
        <f>IF($J286="","",IFERROR(IF($K286="",$B286,$K286)+INDEX(Cadence!$C$4:$C$13,MATCH($J286,Cadence!$A$4:$A$13,0)),""))</f>
        <v/>
      </c>
      <c r="N286" s="20">
        <f>IF($M286="","",IF($M286&lt;TODAY(),"OVERDUE",IF($M286=TODAY(),"DUE TODAY",IF($M286&lt;=TODAY()+7,"THIS WEEK","LATER"))))</f>
        <v/>
      </c>
      <c r="O286" s="17" t="n"/>
      <c r="P286" s="17" t="n"/>
    </row>
    <row r="287">
      <c r="A287" s="17" t="n"/>
      <c r="B287" s="18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8" t="n"/>
      <c r="L287" s="6">
        <f>IF($J287="","",IFERROR(INDEX(Cadence!$B$4:$B$13,MATCH($J287,Cadence!$A$4:$A$13,0)),""))</f>
        <v/>
      </c>
      <c r="M287" s="19">
        <f>IF($J287="","",IFERROR(IF($K287="",$B287,$K287)+INDEX(Cadence!$C$4:$C$13,MATCH($J287,Cadence!$A$4:$A$13,0)),""))</f>
        <v/>
      </c>
      <c r="N287" s="20">
        <f>IF($M287="","",IF($M287&lt;TODAY(),"OVERDUE",IF($M287=TODAY(),"DUE TODAY",IF($M287&lt;=TODAY()+7,"THIS WEEK","LATER"))))</f>
        <v/>
      </c>
      <c r="O287" s="17" t="n"/>
      <c r="P287" s="17" t="n"/>
    </row>
    <row r="288">
      <c r="A288" s="17" t="n"/>
      <c r="B288" s="18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6">
        <f>IF($J288="","",IFERROR(INDEX(Cadence!$B$4:$B$13,MATCH($J288,Cadence!$A$4:$A$13,0)),""))</f>
        <v/>
      </c>
      <c r="M288" s="19">
        <f>IF($J288="","",IFERROR(IF($K288="",$B288,$K288)+INDEX(Cadence!$C$4:$C$13,MATCH($J288,Cadence!$A$4:$A$13,0)),""))</f>
        <v/>
      </c>
      <c r="N288" s="20">
        <f>IF($M288="","",IF($M288&lt;TODAY(),"OVERDUE",IF($M288=TODAY(),"DUE TODAY",IF($M288&lt;=TODAY()+7,"THIS WEEK","LATER"))))</f>
        <v/>
      </c>
      <c r="O288" s="17" t="n"/>
      <c r="P288" s="17" t="n"/>
    </row>
    <row r="289">
      <c r="A289" s="17" t="n"/>
      <c r="B289" s="18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8" t="n"/>
      <c r="L289" s="6">
        <f>IF($J289="","",IFERROR(INDEX(Cadence!$B$4:$B$13,MATCH($J289,Cadence!$A$4:$A$13,0)),""))</f>
        <v/>
      </c>
      <c r="M289" s="19">
        <f>IF($J289="","",IFERROR(IF($K289="",$B289,$K289)+INDEX(Cadence!$C$4:$C$13,MATCH($J289,Cadence!$A$4:$A$13,0)),""))</f>
        <v/>
      </c>
      <c r="N289" s="20">
        <f>IF($M289="","",IF($M289&lt;TODAY(),"OVERDUE",IF($M289=TODAY(),"DUE TODAY",IF($M289&lt;=TODAY()+7,"THIS WEEK","LATER"))))</f>
        <v/>
      </c>
      <c r="O289" s="17" t="n"/>
      <c r="P289" s="17" t="n"/>
    </row>
    <row r="290">
      <c r="A290" s="17" t="n"/>
      <c r="B290" s="18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6">
        <f>IF($J290="","",IFERROR(INDEX(Cadence!$B$4:$B$13,MATCH($J290,Cadence!$A$4:$A$13,0)),""))</f>
        <v/>
      </c>
      <c r="M290" s="19">
        <f>IF($J290="","",IFERROR(IF($K290="",$B290,$K290)+INDEX(Cadence!$C$4:$C$13,MATCH($J290,Cadence!$A$4:$A$13,0)),""))</f>
        <v/>
      </c>
      <c r="N290" s="20">
        <f>IF($M290="","",IF($M290&lt;TODAY(),"OVERDUE",IF($M290=TODAY(),"DUE TODAY",IF($M290&lt;=TODAY()+7,"THIS WEEK","LATER"))))</f>
        <v/>
      </c>
      <c r="O290" s="17" t="n"/>
      <c r="P290" s="17" t="n"/>
    </row>
    <row r="291">
      <c r="A291" s="17" t="n"/>
      <c r="B291" s="18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8" t="n"/>
      <c r="L291" s="6">
        <f>IF($J291="","",IFERROR(INDEX(Cadence!$B$4:$B$13,MATCH($J291,Cadence!$A$4:$A$13,0)),""))</f>
        <v/>
      </c>
      <c r="M291" s="19">
        <f>IF($J291="","",IFERROR(IF($K291="",$B291,$K291)+INDEX(Cadence!$C$4:$C$13,MATCH($J291,Cadence!$A$4:$A$13,0)),""))</f>
        <v/>
      </c>
      <c r="N291" s="20">
        <f>IF($M291="","",IF($M291&lt;TODAY(),"OVERDUE",IF($M291=TODAY(),"DUE TODAY",IF($M291&lt;=TODAY()+7,"THIS WEEK","LATER"))))</f>
        <v/>
      </c>
      <c r="O291" s="17" t="n"/>
      <c r="P291" s="17" t="n"/>
    </row>
    <row r="292">
      <c r="A292" s="17" t="n"/>
      <c r="B292" s="18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6">
        <f>IF($J292="","",IFERROR(INDEX(Cadence!$B$4:$B$13,MATCH($J292,Cadence!$A$4:$A$13,0)),""))</f>
        <v/>
      </c>
      <c r="M292" s="19">
        <f>IF($J292="","",IFERROR(IF($K292="",$B292,$K292)+INDEX(Cadence!$C$4:$C$13,MATCH($J292,Cadence!$A$4:$A$13,0)),""))</f>
        <v/>
      </c>
      <c r="N292" s="20">
        <f>IF($M292="","",IF($M292&lt;TODAY(),"OVERDUE",IF($M292=TODAY(),"DUE TODAY",IF($M292&lt;=TODAY()+7,"THIS WEEK","LATER"))))</f>
        <v/>
      </c>
      <c r="O292" s="17" t="n"/>
      <c r="P292" s="17" t="n"/>
    </row>
    <row r="293">
      <c r="A293" s="17" t="n"/>
      <c r="B293" s="18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8" t="n"/>
      <c r="L293" s="6">
        <f>IF($J293="","",IFERROR(INDEX(Cadence!$B$4:$B$13,MATCH($J293,Cadence!$A$4:$A$13,0)),""))</f>
        <v/>
      </c>
      <c r="M293" s="19">
        <f>IF($J293="","",IFERROR(IF($K293="",$B293,$K293)+INDEX(Cadence!$C$4:$C$13,MATCH($J293,Cadence!$A$4:$A$13,0)),""))</f>
        <v/>
      </c>
      <c r="N293" s="20">
        <f>IF($M293="","",IF($M293&lt;TODAY(),"OVERDUE",IF($M293=TODAY(),"DUE TODAY",IF($M293&lt;=TODAY()+7,"THIS WEEK","LATER"))))</f>
        <v/>
      </c>
      <c r="O293" s="17" t="n"/>
      <c r="P293" s="17" t="n"/>
    </row>
    <row r="294">
      <c r="A294" s="17" t="n"/>
      <c r="B294" s="18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6">
        <f>IF($J294="","",IFERROR(INDEX(Cadence!$B$4:$B$13,MATCH($J294,Cadence!$A$4:$A$13,0)),""))</f>
        <v/>
      </c>
      <c r="M294" s="19">
        <f>IF($J294="","",IFERROR(IF($K294="",$B294,$K294)+INDEX(Cadence!$C$4:$C$13,MATCH($J294,Cadence!$A$4:$A$13,0)),""))</f>
        <v/>
      </c>
      <c r="N294" s="20">
        <f>IF($M294="","",IF($M294&lt;TODAY(),"OVERDUE",IF($M294=TODAY(),"DUE TODAY",IF($M294&lt;=TODAY()+7,"THIS WEEK","LATER"))))</f>
        <v/>
      </c>
      <c r="O294" s="17" t="n"/>
      <c r="P294" s="17" t="n"/>
    </row>
    <row r="295">
      <c r="A295" s="17" t="n"/>
      <c r="B295" s="18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8" t="n"/>
      <c r="L295" s="6">
        <f>IF($J295="","",IFERROR(INDEX(Cadence!$B$4:$B$13,MATCH($J295,Cadence!$A$4:$A$13,0)),""))</f>
        <v/>
      </c>
      <c r="M295" s="19">
        <f>IF($J295="","",IFERROR(IF($K295="",$B295,$K295)+INDEX(Cadence!$C$4:$C$13,MATCH($J295,Cadence!$A$4:$A$13,0)),""))</f>
        <v/>
      </c>
      <c r="N295" s="20">
        <f>IF($M295="","",IF($M295&lt;TODAY(),"OVERDUE",IF($M295=TODAY(),"DUE TODAY",IF($M295&lt;=TODAY()+7,"THIS WEEK","LATER"))))</f>
        <v/>
      </c>
      <c r="O295" s="17" t="n"/>
      <c r="P295" s="17" t="n"/>
    </row>
    <row r="296">
      <c r="A296" s="17" t="n"/>
      <c r="B296" s="18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6">
        <f>IF($J296="","",IFERROR(INDEX(Cadence!$B$4:$B$13,MATCH($J296,Cadence!$A$4:$A$13,0)),""))</f>
        <v/>
      </c>
      <c r="M296" s="19">
        <f>IF($J296="","",IFERROR(IF($K296="",$B296,$K296)+INDEX(Cadence!$C$4:$C$13,MATCH($J296,Cadence!$A$4:$A$13,0)),""))</f>
        <v/>
      </c>
      <c r="N296" s="20">
        <f>IF($M296="","",IF($M296&lt;TODAY(),"OVERDUE",IF($M296=TODAY(),"DUE TODAY",IF($M296&lt;=TODAY()+7,"THIS WEEK","LATER"))))</f>
        <v/>
      </c>
      <c r="O296" s="17" t="n"/>
      <c r="P296" s="17" t="n"/>
    </row>
    <row r="297">
      <c r="A297" s="17" t="n"/>
      <c r="B297" s="18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8" t="n"/>
      <c r="L297" s="6">
        <f>IF($J297="","",IFERROR(INDEX(Cadence!$B$4:$B$13,MATCH($J297,Cadence!$A$4:$A$13,0)),""))</f>
        <v/>
      </c>
      <c r="M297" s="19">
        <f>IF($J297="","",IFERROR(IF($K297="",$B297,$K297)+INDEX(Cadence!$C$4:$C$13,MATCH($J297,Cadence!$A$4:$A$13,0)),""))</f>
        <v/>
      </c>
      <c r="N297" s="20">
        <f>IF($M297="","",IF($M297&lt;TODAY(),"OVERDUE",IF($M297=TODAY(),"DUE TODAY",IF($M297&lt;=TODAY()+7,"THIS WEEK","LATER"))))</f>
        <v/>
      </c>
      <c r="O297" s="17" t="n"/>
      <c r="P297" s="17" t="n"/>
    </row>
    <row r="298">
      <c r="A298" s="17" t="n"/>
      <c r="B298" s="18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6">
        <f>IF($J298="","",IFERROR(INDEX(Cadence!$B$4:$B$13,MATCH($J298,Cadence!$A$4:$A$13,0)),""))</f>
        <v/>
      </c>
      <c r="M298" s="19">
        <f>IF($J298="","",IFERROR(IF($K298="",$B298,$K298)+INDEX(Cadence!$C$4:$C$13,MATCH($J298,Cadence!$A$4:$A$13,0)),""))</f>
        <v/>
      </c>
      <c r="N298" s="20">
        <f>IF($M298="","",IF($M298&lt;TODAY(),"OVERDUE",IF($M298=TODAY(),"DUE TODAY",IF($M298&lt;=TODAY()+7,"THIS WEEK","LATER"))))</f>
        <v/>
      </c>
      <c r="O298" s="17" t="n"/>
      <c r="P298" s="17" t="n"/>
    </row>
    <row r="299">
      <c r="A299" s="17" t="n"/>
      <c r="B299" s="18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8" t="n"/>
      <c r="L299" s="6">
        <f>IF($J299="","",IFERROR(INDEX(Cadence!$B$4:$B$13,MATCH($J299,Cadence!$A$4:$A$13,0)),""))</f>
        <v/>
      </c>
      <c r="M299" s="19">
        <f>IF($J299="","",IFERROR(IF($K299="",$B299,$K299)+INDEX(Cadence!$C$4:$C$13,MATCH($J299,Cadence!$A$4:$A$13,0)),""))</f>
        <v/>
      </c>
      <c r="N299" s="20">
        <f>IF($M299="","",IF($M299&lt;TODAY(),"OVERDUE",IF($M299=TODAY(),"DUE TODAY",IF($M299&lt;=TODAY()+7,"THIS WEEK","LATER"))))</f>
        <v/>
      </c>
      <c r="O299" s="17" t="n"/>
      <c r="P299" s="17" t="n"/>
    </row>
    <row r="300">
      <c r="A300" s="17" t="n"/>
      <c r="B300" s="18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6">
        <f>IF($J300="","",IFERROR(INDEX(Cadence!$B$4:$B$13,MATCH($J300,Cadence!$A$4:$A$13,0)),""))</f>
        <v/>
      </c>
      <c r="M300" s="19">
        <f>IF($J300="","",IFERROR(IF($K300="",$B300,$K300)+INDEX(Cadence!$C$4:$C$13,MATCH($J300,Cadence!$A$4:$A$13,0)),""))</f>
        <v/>
      </c>
      <c r="N300" s="20">
        <f>IF($M300="","",IF($M300&lt;TODAY(),"OVERDUE",IF($M300=TODAY(),"DUE TODAY",IF($M300&lt;=TODAY()+7,"THIS WEEK","LATER"))))</f>
        <v/>
      </c>
      <c r="O300" s="17" t="n"/>
      <c r="P300" s="17" t="n"/>
    </row>
    <row r="301">
      <c r="A301" s="17" t="n"/>
      <c r="B301" s="18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8" t="n"/>
      <c r="L301" s="6">
        <f>IF($J301="","",IFERROR(INDEX(Cadence!$B$4:$B$13,MATCH($J301,Cadence!$A$4:$A$13,0)),""))</f>
        <v/>
      </c>
      <c r="M301" s="19">
        <f>IF($J301="","",IFERROR(IF($K301="",$B301,$K301)+INDEX(Cadence!$C$4:$C$13,MATCH($J301,Cadence!$A$4:$A$13,0)),""))</f>
        <v/>
      </c>
      <c r="N301" s="20">
        <f>IF($M301="","",IF($M301&lt;TODAY(),"OVERDUE",IF($M301=TODAY(),"DUE TODAY",IF($M301&lt;=TODAY()+7,"THIS WEEK","LATER"))))</f>
        <v/>
      </c>
      <c r="O301" s="17" t="n"/>
      <c r="P301" s="17" t="n"/>
    </row>
    <row r="302">
      <c r="A302" s="17" t="n"/>
      <c r="B302" s="18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6">
        <f>IF($J302="","",IFERROR(INDEX(Cadence!$B$4:$B$13,MATCH($J302,Cadence!$A$4:$A$13,0)),""))</f>
        <v/>
      </c>
      <c r="M302" s="19">
        <f>IF($J302="","",IFERROR(IF($K302="",$B302,$K302)+INDEX(Cadence!$C$4:$C$13,MATCH($J302,Cadence!$A$4:$A$13,0)),""))</f>
        <v/>
      </c>
      <c r="N302" s="20">
        <f>IF($M302="","",IF($M302&lt;TODAY(),"OVERDUE",IF($M302=TODAY(),"DUE TODAY",IF($M302&lt;=TODAY()+7,"THIS WEEK","LATER"))))</f>
        <v/>
      </c>
      <c r="O302" s="17" t="n"/>
      <c r="P302" s="17" t="n"/>
    </row>
    <row r="303">
      <c r="A303" s="17" t="n"/>
      <c r="B303" s="18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8" t="n"/>
      <c r="L303" s="6">
        <f>IF($J303="","",IFERROR(INDEX(Cadence!$B$4:$B$13,MATCH($J303,Cadence!$A$4:$A$13,0)),""))</f>
        <v/>
      </c>
      <c r="M303" s="19">
        <f>IF($J303="","",IFERROR(IF($K303="",$B303,$K303)+INDEX(Cadence!$C$4:$C$13,MATCH($J303,Cadence!$A$4:$A$13,0)),""))</f>
        <v/>
      </c>
      <c r="N303" s="20">
        <f>IF($M303="","",IF($M303&lt;TODAY(),"OVERDUE",IF($M303=TODAY(),"DUE TODAY",IF($M303&lt;=TODAY()+7,"THIS WEEK","LATER"))))</f>
        <v/>
      </c>
      <c r="O303" s="17" t="n"/>
      <c r="P303" s="17" t="n"/>
    </row>
    <row r="304">
      <c r="A304" s="17" t="n"/>
      <c r="B304" s="18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6">
        <f>IF($J304="","",IFERROR(INDEX(Cadence!$B$4:$B$13,MATCH($J304,Cadence!$A$4:$A$13,0)),""))</f>
        <v/>
      </c>
      <c r="M304" s="19">
        <f>IF($J304="","",IFERROR(IF($K304="",$B304,$K304)+INDEX(Cadence!$C$4:$C$13,MATCH($J304,Cadence!$A$4:$A$13,0)),""))</f>
        <v/>
      </c>
      <c r="N304" s="20">
        <f>IF($M304="","",IF($M304&lt;TODAY(),"OVERDUE",IF($M304=TODAY(),"DUE TODAY",IF($M304&lt;=TODAY()+7,"THIS WEEK","LATER"))))</f>
        <v/>
      </c>
      <c r="O304" s="17" t="n"/>
      <c r="P304" s="17" t="n"/>
    </row>
    <row r="305">
      <c r="A305" s="17" t="n"/>
      <c r="B305" s="18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8" t="n"/>
      <c r="L305" s="6">
        <f>IF($J305="","",IFERROR(INDEX(Cadence!$B$4:$B$13,MATCH($J305,Cadence!$A$4:$A$13,0)),""))</f>
        <v/>
      </c>
      <c r="M305" s="19">
        <f>IF($J305="","",IFERROR(IF($K305="",$B305,$K305)+INDEX(Cadence!$C$4:$C$13,MATCH($J305,Cadence!$A$4:$A$13,0)),""))</f>
        <v/>
      </c>
      <c r="N305" s="20">
        <f>IF($M305="","",IF($M305&lt;TODAY(),"OVERDUE",IF($M305=TODAY(),"DUE TODAY",IF($M305&lt;=TODAY()+7,"THIS WEEK","LATER"))))</f>
        <v/>
      </c>
      <c r="O305" s="17" t="n"/>
      <c r="P305" s="17" t="n"/>
    </row>
    <row r="306">
      <c r="A306" s="17" t="n"/>
      <c r="B306" s="18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6">
        <f>IF($J306="","",IFERROR(INDEX(Cadence!$B$4:$B$13,MATCH($J306,Cadence!$A$4:$A$13,0)),""))</f>
        <v/>
      </c>
      <c r="M306" s="19">
        <f>IF($J306="","",IFERROR(IF($K306="",$B306,$K306)+INDEX(Cadence!$C$4:$C$13,MATCH($J306,Cadence!$A$4:$A$13,0)),""))</f>
        <v/>
      </c>
      <c r="N306" s="20">
        <f>IF($M306="","",IF($M306&lt;TODAY(),"OVERDUE",IF($M306=TODAY(),"DUE TODAY",IF($M306&lt;=TODAY()+7,"THIS WEEK","LATER"))))</f>
        <v/>
      </c>
      <c r="O306" s="17" t="n"/>
      <c r="P306" s="17" t="n"/>
    </row>
    <row r="307">
      <c r="A307" s="17" t="n"/>
      <c r="B307" s="18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8" t="n"/>
      <c r="L307" s="6">
        <f>IF($J307="","",IFERROR(INDEX(Cadence!$B$4:$B$13,MATCH($J307,Cadence!$A$4:$A$13,0)),""))</f>
        <v/>
      </c>
      <c r="M307" s="19">
        <f>IF($J307="","",IFERROR(IF($K307="",$B307,$K307)+INDEX(Cadence!$C$4:$C$13,MATCH($J307,Cadence!$A$4:$A$13,0)),""))</f>
        <v/>
      </c>
      <c r="N307" s="20">
        <f>IF($M307="","",IF($M307&lt;TODAY(),"OVERDUE",IF($M307=TODAY(),"DUE TODAY",IF($M307&lt;=TODAY()+7,"THIS WEEK","LATER"))))</f>
        <v/>
      </c>
      <c r="O307" s="17" t="n"/>
      <c r="P307" s="17" t="n"/>
    </row>
    <row r="308">
      <c r="A308" s="17" t="n"/>
      <c r="B308" s="18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6">
        <f>IF($J308="","",IFERROR(INDEX(Cadence!$B$4:$B$13,MATCH($J308,Cadence!$A$4:$A$13,0)),""))</f>
        <v/>
      </c>
      <c r="M308" s="19">
        <f>IF($J308="","",IFERROR(IF($K308="",$B308,$K308)+INDEX(Cadence!$C$4:$C$13,MATCH($J308,Cadence!$A$4:$A$13,0)),""))</f>
        <v/>
      </c>
      <c r="N308" s="20">
        <f>IF($M308="","",IF($M308&lt;TODAY(),"OVERDUE",IF($M308=TODAY(),"DUE TODAY",IF($M308&lt;=TODAY()+7,"THIS WEEK","LATER"))))</f>
        <v/>
      </c>
      <c r="O308" s="17" t="n"/>
      <c r="P308" s="17" t="n"/>
    </row>
    <row r="309">
      <c r="A309" s="17" t="n"/>
      <c r="B309" s="18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8" t="n"/>
      <c r="L309" s="6">
        <f>IF($J309="","",IFERROR(INDEX(Cadence!$B$4:$B$13,MATCH($J309,Cadence!$A$4:$A$13,0)),""))</f>
        <v/>
      </c>
      <c r="M309" s="19">
        <f>IF($J309="","",IFERROR(IF($K309="",$B309,$K309)+INDEX(Cadence!$C$4:$C$13,MATCH($J309,Cadence!$A$4:$A$13,0)),""))</f>
        <v/>
      </c>
      <c r="N309" s="20">
        <f>IF($M309="","",IF($M309&lt;TODAY(),"OVERDUE",IF($M309=TODAY(),"DUE TODAY",IF($M309&lt;=TODAY()+7,"THIS WEEK","LATER"))))</f>
        <v/>
      </c>
      <c r="O309" s="17" t="n"/>
      <c r="P309" s="17" t="n"/>
    </row>
    <row r="310">
      <c r="A310" s="17" t="n"/>
      <c r="B310" s="18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6">
        <f>IF($J310="","",IFERROR(INDEX(Cadence!$B$4:$B$13,MATCH($J310,Cadence!$A$4:$A$13,0)),""))</f>
        <v/>
      </c>
      <c r="M310" s="19">
        <f>IF($J310="","",IFERROR(IF($K310="",$B310,$K310)+INDEX(Cadence!$C$4:$C$13,MATCH($J310,Cadence!$A$4:$A$13,0)),""))</f>
        <v/>
      </c>
      <c r="N310" s="20">
        <f>IF($M310="","",IF($M310&lt;TODAY(),"OVERDUE",IF($M310=TODAY(),"DUE TODAY",IF($M310&lt;=TODAY()+7,"THIS WEEK","LATER"))))</f>
        <v/>
      </c>
      <c r="O310" s="17" t="n"/>
      <c r="P310" s="17" t="n"/>
    </row>
    <row r="311">
      <c r="A311" s="17" t="n"/>
      <c r="B311" s="18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8" t="n"/>
      <c r="L311" s="6">
        <f>IF($J311="","",IFERROR(INDEX(Cadence!$B$4:$B$13,MATCH($J311,Cadence!$A$4:$A$13,0)),""))</f>
        <v/>
      </c>
      <c r="M311" s="19">
        <f>IF($J311="","",IFERROR(IF($K311="",$B311,$K311)+INDEX(Cadence!$C$4:$C$13,MATCH($J311,Cadence!$A$4:$A$13,0)),""))</f>
        <v/>
      </c>
      <c r="N311" s="20">
        <f>IF($M311="","",IF($M311&lt;TODAY(),"OVERDUE",IF($M311=TODAY(),"DUE TODAY",IF($M311&lt;=TODAY()+7,"THIS WEEK","LATER"))))</f>
        <v/>
      </c>
      <c r="O311" s="17" t="n"/>
      <c r="P311" s="17" t="n"/>
    </row>
    <row r="312">
      <c r="A312" s="17" t="n"/>
      <c r="B312" s="18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6">
        <f>IF($J312="","",IFERROR(INDEX(Cadence!$B$4:$B$13,MATCH($J312,Cadence!$A$4:$A$13,0)),""))</f>
        <v/>
      </c>
      <c r="M312" s="19">
        <f>IF($J312="","",IFERROR(IF($K312="",$B312,$K312)+INDEX(Cadence!$C$4:$C$13,MATCH($J312,Cadence!$A$4:$A$13,0)),""))</f>
        <v/>
      </c>
      <c r="N312" s="20">
        <f>IF($M312="","",IF($M312&lt;TODAY(),"OVERDUE",IF($M312=TODAY(),"DUE TODAY",IF($M312&lt;=TODAY()+7,"THIS WEEK","LATER"))))</f>
        <v/>
      </c>
      <c r="O312" s="17" t="n"/>
      <c r="P312" s="17" t="n"/>
    </row>
    <row r="313">
      <c r="A313" s="17" t="n"/>
      <c r="B313" s="18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8" t="n"/>
      <c r="L313" s="6">
        <f>IF($J313="","",IFERROR(INDEX(Cadence!$B$4:$B$13,MATCH($J313,Cadence!$A$4:$A$13,0)),""))</f>
        <v/>
      </c>
      <c r="M313" s="19">
        <f>IF($J313="","",IFERROR(IF($K313="",$B313,$K313)+INDEX(Cadence!$C$4:$C$13,MATCH($J313,Cadence!$A$4:$A$13,0)),""))</f>
        <v/>
      </c>
      <c r="N313" s="20">
        <f>IF($M313="","",IF($M313&lt;TODAY(),"OVERDUE",IF($M313=TODAY(),"DUE TODAY",IF($M313&lt;=TODAY()+7,"THIS WEEK","LATER"))))</f>
        <v/>
      </c>
      <c r="O313" s="17" t="n"/>
      <c r="P313" s="17" t="n"/>
    </row>
    <row r="314">
      <c r="A314" s="17" t="n"/>
      <c r="B314" s="18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6">
        <f>IF($J314="","",IFERROR(INDEX(Cadence!$B$4:$B$13,MATCH($J314,Cadence!$A$4:$A$13,0)),""))</f>
        <v/>
      </c>
      <c r="M314" s="19">
        <f>IF($J314="","",IFERROR(IF($K314="",$B314,$K314)+INDEX(Cadence!$C$4:$C$13,MATCH($J314,Cadence!$A$4:$A$13,0)),""))</f>
        <v/>
      </c>
      <c r="N314" s="20">
        <f>IF($M314="","",IF($M314&lt;TODAY(),"OVERDUE",IF($M314=TODAY(),"DUE TODAY",IF($M314&lt;=TODAY()+7,"THIS WEEK","LATER"))))</f>
        <v/>
      </c>
      <c r="O314" s="17" t="n"/>
      <c r="P314" s="17" t="n"/>
    </row>
    <row r="315">
      <c r="A315" s="17" t="n"/>
      <c r="B315" s="18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8" t="n"/>
      <c r="L315" s="6">
        <f>IF($J315="","",IFERROR(INDEX(Cadence!$B$4:$B$13,MATCH($J315,Cadence!$A$4:$A$13,0)),""))</f>
        <v/>
      </c>
      <c r="M315" s="19">
        <f>IF($J315="","",IFERROR(IF($K315="",$B315,$K315)+INDEX(Cadence!$C$4:$C$13,MATCH($J315,Cadence!$A$4:$A$13,0)),""))</f>
        <v/>
      </c>
      <c r="N315" s="20">
        <f>IF($M315="","",IF($M315&lt;TODAY(),"OVERDUE",IF($M315=TODAY(),"DUE TODAY",IF($M315&lt;=TODAY()+7,"THIS WEEK","LATER"))))</f>
        <v/>
      </c>
      <c r="O315" s="17" t="n"/>
      <c r="P315" s="17" t="n"/>
    </row>
    <row r="316">
      <c r="A316" s="17" t="n"/>
      <c r="B316" s="18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6">
        <f>IF($J316="","",IFERROR(INDEX(Cadence!$B$4:$B$13,MATCH($J316,Cadence!$A$4:$A$13,0)),""))</f>
        <v/>
      </c>
      <c r="M316" s="19">
        <f>IF($J316="","",IFERROR(IF($K316="",$B316,$K316)+INDEX(Cadence!$C$4:$C$13,MATCH($J316,Cadence!$A$4:$A$13,0)),""))</f>
        <v/>
      </c>
      <c r="N316" s="20">
        <f>IF($M316="","",IF($M316&lt;TODAY(),"OVERDUE",IF($M316=TODAY(),"DUE TODAY",IF($M316&lt;=TODAY()+7,"THIS WEEK","LATER"))))</f>
        <v/>
      </c>
      <c r="O316" s="17" t="n"/>
      <c r="P316" s="17" t="n"/>
    </row>
    <row r="317">
      <c r="A317" s="17" t="n"/>
      <c r="B317" s="18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8" t="n"/>
      <c r="L317" s="6">
        <f>IF($J317="","",IFERROR(INDEX(Cadence!$B$4:$B$13,MATCH($J317,Cadence!$A$4:$A$13,0)),""))</f>
        <v/>
      </c>
      <c r="M317" s="19">
        <f>IF($J317="","",IFERROR(IF($K317="",$B317,$K317)+INDEX(Cadence!$C$4:$C$13,MATCH($J317,Cadence!$A$4:$A$13,0)),""))</f>
        <v/>
      </c>
      <c r="N317" s="20">
        <f>IF($M317="","",IF($M317&lt;TODAY(),"OVERDUE",IF($M317=TODAY(),"DUE TODAY",IF($M317&lt;=TODAY()+7,"THIS WEEK","LATER"))))</f>
        <v/>
      </c>
      <c r="O317" s="17" t="n"/>
      <c r="P317" s="17" t="n"/>
    </row>
    <row r="318">
      <c r="A318" s="17" t="n"/>
      <c r="B318" s="18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6">
        <f>IF($J318="","",IFERROR(INDEX(Cadence!$B$4:$B$13,MATCH($J318,Cadence!$A$4:$A$13,0)),""))</f>
        <v/>
      </c>
      <c r="M318" s="19">
        <f>IF($J318="","",IFERROR(IF($K318="",$B318,$K318)+INDEX(Cadence!$C$4:$C$13,MATCH($J318,Cadence!$A$4:$A$13,0)),""))</f>
        <v/>
      </c>
      <c r="N318" s="20">
        <f>IF($M318="","",IF($M318&lt;TODAY(),"OVERDUE",IF($M318=TODAY(),"DUE TODAY",IF($M318&lt;=TODAY()+7,"THIS WEEK","LATER"))))</f>
        <v/>
      </c>
      <c r="O318" s="17" t="n"/>
      <c r="P318" s="17" t="n"/>
    </row>
    <row r="319">
      <c r="A319" s="17" t="n"/>
      <c r="B319" s="18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8" t="n"/>
      <c r="L319" s="6">
        <f>IF($J319="","",IFERROR(INDEX(Cadence!$B$4:$B$13,MATCH($J319,Cadence!$A$4:$A$13,0)),""))</f>
        <v/>
      </c>
      <c r="M319" s="19">
        <f>IF($J319="","",IFERROR(IF($K319="",$B319,$K319)+INDEX(Cadence!$C$4:$C$13,MATCH($J319,Cadence!$A$4:$A$13,0)),""))</f>
        <v/>
      </c>
      <c r="N319" s="20">
        <f>IF($M319="","",IF($M319&lt;TODAY(),"OVERDUE",IF($M319=TODAY(),"DUE TODAY",IF($M319&lt;=TODAY()+7,"THIS WEEK","LATER"))))</f>
        <v/>
      </c>
      <c r="O319" s="17" t="n"/>
      <c r="P319" s="17" t="n"/>
    </row>
    <row r="320">
      <c r="A320" s="17" t="n"/>
      <c r="B320" s="18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6">
        <f>IF($J320="","",IFERROR(INDEX(Cadence!$B$4:$B$13,MATCH($J320,Cadence!$A$4:$A$13,0)),""))</f>
        <v/>
      </c>
      <c r="M320" s="19">
        <f>IF($J320="","",IFERROR(IF($K320="",$B320,$K320)+INDEX(Cadence!$C$4:$C$13,MATCH($J320,Cadence!$A$4:$A$13,0)),""))</f>
        <v/>
      </c>
      <c r="N320" s="20">
        <f>IF($M320="","",IF($M320&lt;TODAY(),"OVERDUE",IF($M320=TODAY(),"DUE TODAY",IF($M320&lt;=TODAY()+7,"THIS WEEK","LATER"))))</f>
        <v/>
      </c>
      <c r="O320" s="17" t="n"/>
      <c r="P320" s="17" t="n"/>
    </row>
    <row r="321">
      <c r="A321" s="17" t="n"/>
      <c r="B321" s="18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8" t="n"/>
      <c r="L321" s="6">
        <f>IF($J321="","",IFERROR(INDEX(Cadence!$B$4:$B$13,MATCH($J321,Cadence!$A$4:$A$13,0)),""))</f>
        <v/>
      </c>
      <c r="M321" s="19">
        <f>IF($J321="","",IFERROR(IF($K321="",$B321,$K321)+INDEX(Cadence!$C$4:$C$13,MATCH($J321,Cadence!$A$4:$A$13,0)),""))</f>
        <v/>
      </c>
      <c r="N321" s="20">
        <f>IF($M321="","",IF($M321&lt;TODAY(),"OVERDUE",IF($M321=TODAY(),"DUE TODAY",IF($M321&lt;=TODAY()+7,"THIS WEEK","LATER"))))</f>
        <v/>
      </c>
      <c r="O321" s="17" t="n"/>
      <c r="P321" s="17" t="n"/>
    </row>
    <row r="322">
      <c r="A322" s="17" t="n"/>
      <c r="B322" s="18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6">
        <f>IF($J322="","",IFERROR(INDEX(Cadence!$B$4:$B$13,MATCH($J322,Cadence!$A$4:$A$13,0)),""))</f>
        <v/>
      </c>
      <c r="M322" s="19">
        <f>IF($J322="","",IFERROR(IF($K322="",$B322,$K322)+INDEX(Cadence!$C$4:$C$13,MATCH($J322,Cadence!$A$4:$A$13,0)),""))</f>
        <v/>
      </c>
      <c r="N322" s="20">
        <f>IF($M322="","",IF($M322&lt;TODAY(),"OVERDUE",IF($M322=TODAY(),"DUE TODAY",IF($M322&lt;=TODAY()+7,"THIS WEEK","LATER"))))</f>
        <v/>
      </c>
      <c r="O322" s="17" t="n"/>
      <c r="P322" s="17" t="n"/>
    </row>
    <row r="323">
      <c r="A323" s="17" t="n"/>
      <c r="B323" s="18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8" t="n"/>
      <c r="L323" s="6">
        <f>IF($J323="","",IFERROR(INDEX(Cadence!$B$4:$B$13,MATCH($J323,Cadence!$A$4:$A$13,0)),""))</f>
        <v/>
      </c>
      <c r="M323" s="19">
        <f>IF($J323="","",IFERROR(IF($K323="",$B323,$K323)+INDEX(Cadence!$C$4:$C$13,MATCH($J323,Cadence!$A$4:$A$13,0)),""))</f>
        <v/>
      </c>
      <c r="N323" s="20">
        <f>IF($M323="","",IF($M323&lt;TODAY(),"OVERDUE",IF($M323=TODAY(),"DUE TODAY",IF($M323&lt;=TODAY()+7,"THIS WEEK","LATER"))))</f>
        <v/>
      </c>
      <c r="O323" s="17" t="n"/>
      <c r="P323" s="17" t="n"/>
    </row>
    <row r="324">
      <c r="A324" s="17" t="n"/>
      <c r="B324" s="18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6">
        <f>IF($J324="","",IFERROR(INDEX(Cadence!$B$4:$B$13,MATCH($J324,Cadence!$A$4:$A$13,0)),""))</f>
        <v/>
      </c>
      <c r="M324" s="19">
        <f>IF($J324="","",IFERROR(IF($K324="",$B324,$K324)+INDEX(Cadence!$C$4:$C$13,MATCH($J324,Cadence!$A$4:$A$13,0)),""))</f>
        <v/>
      </c>
      <c r="N324" s="20">
        <f>IF($M324="","",IF($M324&lt;TODAY(),"OVERDUE",IF($M324=TODAY(),"DUE TODAY",IF($M324&lt;=TODAY()+7,"THIS WEEK","LATER"))))</f>
        <v/>
      </c>
      <c r="O324" s="17" t="n"/>
      <c r="P324" s="17" t="n"/>
    </row>
    <row r="325">
      <c r="A325" s="17" t="n"/>
      <c r="B325" s="18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8" t="n"/>
      <c r="L325" s="6">
        <f>IF($J325="","",IFERROR(INDEX(Cadence!$B$4:$B$13,MATCH($J325,Cadence!$A$4:$A$13,0)),""))</f>
        <v/>
      </c>
      <c r="M325" s="19">
        <f>IF($J325="","",IFERROR(IF($K325="",$B325,$K325)+INDEX(Cadence!$C$4:$C$13,MATCH($J325,Cadence!$A$4:$A$13,0)),""))</f>
        <v/>
      </c>
      <c r="N325" s="20">
        <f>IF($M325="","",IF($M325&lt;TODAY(),"OVERDUE",IF($M325=TODAY(),"DUE TODAY",IF($M325&lt;=TODAY()+7,"THIS WEEK","LATER"))))</f>
        <v/>
      </c>
      <c r="O325" s="17" t="n"/>
      <c r="P325" s="17" t="n"/>
    </row>
    <row r="326">
      <c r="A326" s="17" t="n"/>
      <c r="B326" s="18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6">
        <f>IF($J326="","",IFERROR(INDEX(Cadence!$B$4:$B$13,MATCH($J326,Cadence!$A$4:$A$13,0)),""))</f>
        <v/>
      </c>
      <c r="M326" s="19">
        <f>IF($J326="","",IFERROR(IF($K326="",$B326,$K326)+INDEX(Cadence!$C$4:$C$13,MATCH($J326,Cadence!$A$4:$A$13,0)),""))</f>
        <v/>
      </c>
      <c r="N326" s="20">
        <f>IF($M326="","",IF($M326&lt;TODAY(),"OVERDUE",IF($M326=TODAY(),"DUE TODAY",IF($M326&lt;=TODAY()+7,"THIS WEEK","LATER"))))</f>
        <v/>
      </c>
      <c r="O326" s="17" t="n"/>
      <c r="P326" s="17" t="n"/>
    </row>
    <row r="327">
      <c r="A327" s="17" t="n"/>
      <c r="B327" s="18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8" t="n"/>
      <c r="L327" s="6">
        <f>IF($J327="","",IFERROR(INDEX(Cadence!$B$4:$B$13,MATCH($J327,Cadence!$A$4:$A$13,0)),""))</f>
        <v/>
      </c>
      <c r="M327" s="19">
        <f>IF($J327="","",IFERROR(IF($K327="",$B327,$K327)+INDEX(Cadence!$C$4:$C$13,MATCH($J327,Cadence!$A$4:$A$13,0)),""))</f>
        <v/>
      </c>
      <c r="N327" s="20">
        <f>IF($M327="","",IF($M327&lt;TODAY(),"OVERDUE",IF($M327=TODAY(),"DUE TODAY",IF($M327&lt;=TODAY()+7,"THIS WEEK","LATER"))))</f>
        <v/>
      </c>
      <c r="O327" s="17" t="n"/>
      <c r="P327" s="17" t="n"/>
    </row>
    <row r="328">
      <c r="A328" s="17" t="n"/>
      <c r="B328" s="18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6">
        <f>IF($J328="","",IFERROR(INDEX(Cadence!$B$4:$B$13,MATCH($J328,Cadence!$A$4:$A$13,0)),""))</f>
        <v/>
      </c>
      <c r="M328" s="19">
        <f>IF($J328="","",IFERROR(IF($K328="",$B328,$K328)+INDEX(Cadence!$C$4:$C$13,MATCH($J328,Cadence!$A$4:$A$13,0)),""))</f>
        <v/>
      </c>
      <c r="N328" s="20">
        <f>IF($M328="","",IF($M328&lt;TODAY(),"OVERDUE",IF($M328=TODAY(),"DUE TODAY",IF($M328&lt;=TODAY()+7,"THIS WEEK","LATER"))))</f>
        <v/>
      </c>
      <c r="O328" s="17" t="n"/>
      <c r="P328" s="17" t="n"/>
    </row>
    <row r="329">
      <c r="A329" s="17" t="n"/>
      <c r="B329" s="18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8" t="n"/>
      <c r="L329" s="6">
        <f>IF($J329="","",IFERROR(INDEX(Cadence!$B$4:$B$13,MATCH($J329,Cadence!$A$4:$A$13,0)),""))</f>
        <v/>
      </c>
      <c r="M329" s="19">
        <f>IF($J329="","",IFERROR(IF($K329="",$B329,$K329)+INDEX(Cadence!$C$4:$C$13,MATCH($J329,Cadence!$A$4:$A$13,0)),""))</f>
        <v/>
      </c>
      <c r="N329" s="20">
        <f>IF($M329="","",IF($M329&lt;TODAY(),"OVERDUE",IF($M329=TODAY(),"DUE TODAY",IF($M329&lt;=TODAY()+7,"THIS WEEK","LATER"))))</f>
        <v/>
      </c>
      <c r="O329" s="17" t="n"/>
      <c r="P329" s="17" t="n"/>
    </row>
    <row r="330">
      <c r="A330" s="17" t="n"/>
      <c r="B330" s="18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6">
        <f>IF($J330="","",IFERROR(INDEX(Cadence!$B$4:$B$13,MATCH($J330,Cadence!$A$4:$A$13,0)),""))</f>
        <v/>
      </c>
      <c r="M330" s="19">
        <f>IF($J330="","",IFERROR(IF($K330="",$B330,$K330)+INDEX(Cadence!$C$4:$C$13,MATCH($J330,Cadence!$A$4:$A$13,0)),""))</f>
        <v/>
      </c>
      <c r="N330" s="20">
        <f>IF($M330="","",IF($M330&lt;TODAY(),"OVERDUE",IF($M330=TODAY(),"DUE TODAY",IF($M330&lt;=TODAY()+7,"THIS WEEK","LATER"))))</f>
        <v/>
      </c>
      <c r="O330" s="17" t="n"/>
      <c r="P330" s="17" t="n"/>
    </row>
    <row r="331">
      <c r="A331" s="17" t="n"/>
      <c r="B331" s="18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8" t="n"/>
      <c r="L331" s="6">
        <f>IF($J331="","",IFERROR(INDEX(Cadence!$B$4:$B$13,MATCH($J331,Cadence!$A$4:$A$13,0)),""))</f>
        <v/>
      </c>
      <c r="M331" s="19">
        <f>IF($J331="","",IFERROR(IF($K331="",$B331,$K331)+INDEX(Cadence!$C$4:$C$13,MATCH($J331,Cadence!$A$4:$A$13,0)),""))</f>
        <v/>
      </c>
      <c r="N331" s="20">
        <f>IF($M331="","",IF($M331&lt;TODAY(),"OVERDUE",IF($M331=TODAY(),"DUE TODAY",IF($M331&lt;=TODAY()+7,"THIS WEEK","LATER"))))</f>
        <v/>
      </c>
      <c r="O331" s="17" t="n"/>
      <c r="P331" s="17" t="n"/>
    </row>
    <row r="332">
      <c r="A332" s="17" t="n"/>
      <c r="B332" s="18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6">
        <f>IF($J332="","",IFERROR(INDEX(Cadence!$B$4:$B$13,MATCH($J332,Cadence!$A$4:$A$13,0)),""))</f>
        <v/>
      </c>
      <c r="M332" s="19">
        <f>IF($J332="","",IFERROR(IF($K332="",$B332,$K332)+INDEX(Cadence!$C$4:$C$13,MATCH($J332,Cadence!$A$4:$A$13,0)),""))</f>
        <v/>
      </c>
      <c r="N332" s="20">
        <f>IF($M332="","",IF($M332&lt;TODAY(),"OVERDUE",IF($M332=TODAY(),"DUE TODAY",IF($M332&lt;=TODAY()+7,"THIS WEEK","LATER"))))</f>
        <v/>
      </c>
      <c r="O332" s="17" t="n"/>
      <c r="P332" s="17" t="n"/>
    </row>
    <row r="333">
      <c r="A333" s="17" t="n"/>
      <c r="B333" s="18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8" t="n"/>
      <c r="L333" s="6">
        <f>IF($J333="","",IFERROR(INDEX(Cadence!$B$4:$B$13,MATCH($J333,Cadence!$A$4:$A$13,0)),""))</f>
        <v/>
      </c>
      <c r="M333" s="19">
        <f>IF($J333="","",IFERROR(IF($K333="",$B333,$K333)+INDEX(Cadence!$C$4:$C$13,MATCH($J333,Cadence!$A$4:$A$13,0)),""))</f>
        <v/>
      </c>
      <c r="N333" s="20">
        <f>IF($M333="","",IF($M333&lt;TODAY(),"OVERDUE",IF($M333=TODAY(),"DUE TODAY",IF($M333&lt;=TODAY()+7,"THIS WEEK","LATER"))))</f>
        <v/>
      </c>
      <c r="O333" s="17" t="n"/>
      <c r="P333" s="17" t="n"/>
    </row>
    <row r="334">
      <c r="A334" s="17" t="n"/>
      <c r="B334" s="18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6">
        <f>IF($J334="","",IFERROR(INDEX(Cadence!$B$4:$B$13,MATCH($J334,Cadence!$A$4:$A$13,0)),""))</f>
        <v/>
      </c>
      <c r="M334" s="19">
        <f>IF($J334="","",IFERROR(IF($K334="",$B334,$K334)+INDEX(Cadence!$C$4:$C$13,MATCH($J334,Cadence!$A$4:$A$13,0)),""))</f>
        <v/>
      </c>
      <c r="N334" s="20">
        <f>IF($M334="","",IF($M334&lt;TODAY(),"OVERDUE",IF($M334=TODAY(),"DUE TODAY",IF($M334&lt;=TODAY()+7,"THIS WEEK","LATER"))))</f>
        <v/>
      </c>
      <c r="O334" s="17" t="n"/>
      <c r="P334" s="17" t="n"/>
    </row>
    <row r="335">
      <c r="A335" s="17" t="n"/>
      <c r="B335" s="18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8" t="n"/>
      <c r="L335" s="6">
        <f>IF($J335="","",IFERROR(INDEX(Cadence!$B$4:$B$13,MATCH($J335,Cadence!$A$4:$A$13,0)),""))</f>
        <v/>
      </c>
      <c r="M335" s="19">
        <f>IF($J335="","",IFERROR(IF($K335="",$B335,$K335)+INDEX(Cadence!$C$4:$C$13,MATCH($J335,Cadence!$A$4:$A$13,0)),""))</f>
        <v/>
      </c>
      <c r="N335" s="20">
        <f>IF($M335="","",IF($M335&lt;TODAY(),"OVERDUE",IF($M335=TODAY(),"DUE TODAY",IF($M335&lt;=TODAY()+7,"THIS WEEK","LATER"))))</f>
        <v/>
      </c>
      <c r="O335" s="17" t="n"/>
      <c r="P335" s="17" t="n"/>
    </row>
    <row r="336">
      <c r="A336" s="17" t="n"/>
      <c r="B336" s="18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6">
        <f>IF($J336="","",IFERROR(INDEX(Cadence!$B$4:$B$13,MATCH($J336,Cadence!$A$4:$A$13,0)),""))</f>
        <v/>
      </c>
      <c r="M336" s="19">
        <f>IF($J336="","",IFERROR(IF($K336="",$B336,$K336)+INDEX(Cadence!$C$4:$C$13,MATCH($J336,Cadence!$A$4:$A$13,0)),""))</f>
        <v/>
      </c>
      <c r="N336" s="20">
        <f>IF($M336="","",IF($M336&lt;TODAY(),"OVERDUE",IF($M336=TODAY(),"DUE TODAY",IF($M336&lt;=TODAY()+7,"THIS WEEK","LATER"))))</f>
        <v/>
      </c>
      <c r="O336" s="17" t="n"/>
      <c r="P336" s="17" t="n"/>
    </row>
    <row r="337">
      <c r="A337" s="17" t="n"/>
      <c r="B337" s="18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8" t="n"/>
      <c r="L337" s="6">
        <f>IF($J337="","",IFERROR(INDEX(Cadence!$B$4:$B$13,MATCH($J337,Cadence!$A$4:$A$13,0)),""))</f>
        <v/>
      </c>
      <c r="M337" s="19">
        <f>IF($J337="","",IFERROR(IF($K337="",$B337,$K337)+INDEX(Cadence!$C$4:$C$13,MATCH($J337,Cadence!$A$4:$A$13,0)),""))</f>
        <v/>
      </c>
      <c r="N337" s="20">
        <f>IF($M337="","",IF($M337&lt;TODAY(),"OVERDUE",IF($M337=TODAY(),"DUE TODAY",IF($M337&lt;=TODAY()+7,"THIS WEEK","LATER"))))</f>
        <v/>
      </c>
      <c r="O337" s="17" t="n"/>
      <c r="P337" s="17" t="n"/>
    </row>
    <row r="338">
      <c r="A338" s="17" t="n"/>
      <c r="B338" s="18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6">
        <f>IF($J338="","",IFERROR(INDEX(Cadence!$B$4:$B$13,MATCH($J338,Cadence!$A$4:$A$13,0)),""))</f>
        <v/>
      </c>
      <c r="M338" s="19">
        <f>IF($J338="","",IFERROR(IF($K338="",$B338,$K338)+INDEX(Cadence!$C$4:$C$13,MATCH($J338,Cadence!$A$4:$A$13,0)),""))</f>
        <v/>
      </c>
      <c r="N338" s="20">
        <f>IF($M338="","",IF($M338&lt;TODAY(),"OVERDUE",IF($M338=TODAY(),"DUE TODAY",IF($M338&lt;=TODAY()+7,"THIS WEEK","LATER"))))</f>
        <v/>
      </c>
      <c r="O338" s="17" t="n"/>
      <c r="P338" s="17" t="n"/>
    </row>
    <row r="339">
      <c r="A339" s="17" t="n"/>
      <c r="B339" s="18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8" t="n"/>
      <c r="L339" s="6">
        <f>IF($J339="","",IFERROR(INDEX(Cadence!$B$4:$B$13,MATCH($J339,Cadence!$A$4:$A$13,0)),""))</f>
        <v/>
      </c>
      <c r="M339" s="19">
        <f>IF($J339="","",IFERROR(IF($K339="",$B339,$K339)+INDEX(Cadence!$C$4:$C$13,MATCH($J339,Cadence!$A$4:$A$13,0)),""))</f>
        <v/>
      </c>
      <c r="N339" s="20">
        <f>IF($M339="","",IF($M339&lt;TODAY(),"OVERDUE",IF($M339=TODAY(),"DUE TODAY",IF($M339&lt;=TODAY()+7,"THIS WEEK","LATER"))))</f>
        <v/>
      </c>
      <c r="O339" s="17" t="n"/>
      <c r="P339" s="17" t="n"/>
    </row>
    <row r="340">
      <c r="A340" s="17" t="n"/>
      <c r="B340" s="18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6">
        <f>IF($J340="","",IFERROR(INDEX(Cadence!$B$4:$B$13,MATCH($J340,Cadence!$A$4:$A$13,0)),""))</f>
        <v/>
      </c>
      <c r="M340" s="19">
        <f>IF($J340="","",IFERROR(IF($K340="",$B340,$K340)+INDEX(Cadence!$C$4:$C$13,MATCH($J340,Cadence!$A$4:$A$13,0)),""))</f>
        <v/>
      </c>
      <c r="N340" s="20">
        <f>IF($M340="","",IF($M340&lt;TODAY(),"OVERDUE",IF($M340=TODAY(),"DUE TODAY",IF($M340&lt;=TODAY()+7,"THIS WEEK","LATER"))))</f>
        <v/>
      </c>
      <c r="O340" s="17" t="n"/>
      <c r="P340" s="17" t="n"/>
    </row>
    <row r="341">
      <c r="A341" s="17" t="n"/>
      <c r="B341" s="18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8" t="n"/>
      <c r="L341" s="6">
        <f>IF($J341="","",IFERROR(INDEX(Cadence!$B$4:$B$13,MATCH($J341,Cadence!$A$4:$A$13,0)),""))</f>
        <v/>
      </c>
      <c r="M341" s="19">
        <f>IF($J341="","",IFERROR(IF($K341="",$B341,$K341)+INDEX(Cadence!$C$4:$C$13,MATCH($J341,Cadence!$A$4:$A$13,0)),""))</f>
        <v/>
      </c>
      <c r="N341" s="20">
        <f>IF($M341="","",IF($M341&lt;TODAY(),"OVERDUE",IF($M341=TODAY(),"DUE TODAY",IF($M341&lt;=TODAY()+7,"THIS WEEK","LATER"))))</f>
        <v/>
      </c>
      <c r="O341" s="17" t="n"/>
      <c r="P341" s="17" t="n"/>
    </row>
    <row r="342">
      <c r="A342" s="17" t="n"/>
      <c r="B342" s="18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6">
        <f>IF($J342="","",IFERROR(INDEX(Cadence!$B$4:$B$13,MATCH($J342,Cadence!$A$4:$A$13,0)),""))</f>
        <v/>
      </c>
      <c r="M342" s="19">
        <f>IF($J342="","",IFERROR(IF($K342="",$B342,$K342)+INDEX(Cadence!$C$4:$C$13,MATCH($J342,Cadence!$A$4:$A$13,0)),""))</f>
        <v/>
      </c>
      <c r="N342" s="20">
        <f>IF($M342="","",IF($M342&lt;TODAY(),"OVERDUE",IF($M342=TODAY(),"DUE TODAY",IF($M342&lt;=TODAY()+7,"THIS WEEK","LATER"))))</f>
        <v/>
      </c>
      <c r="O342" s="17" t="n"/>
      <c r="P342" s="17" t="n"/>
    </row>
    <row r="343">
      <c r="A343" s="17" t="n"/>
      <c r="B343" s="18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8" t="n"/>
      <c r="L343" s="6">
        <f>IF($J343="","",IFERROR(INDEX(Cadence!$B$4:$B$13,MATCH($J343,Cadence!$A$4:$A$13,0)),""))</f>
        <v/>
      </c>
      <c r="M343" s="19">
        <f>IF($J343="","",IFERROR(IF($K343="",$B343,$K343)+INDEX(Cadence!$C$4:$C$13,MATCH($J343,Cadence!$A$4:$A$13,0)),""))</f>
        <v/>
      </c>
      <c r="N343" s="20">
        <f>IF($M343="","",IF($M343&lt;TODAY(),"OVERDUE",IF($M343=TODAY(),"DUE TODAY",IF($M343&lt;=TODAY()+7,"THIS WEEK","LATER"))))</f>
        <v/>
      </c>
      <c r="O343" s="17" t="n"/>
      <c r="P343" s="17" t="n"/>
    </row>
    <row r="344">
      <c r="A344" s="17" t="n"/>
      <c r="B344" s="18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6">
        <f>IF($J344="","",IFERROR(INDEX(Cadence!$B$4:$B$13,MATCH($J344,Cadence!$A$4:$A$13,0)),""))</f>
        <v/>
      </c>
      <c r="M344" s="19">
        <f>IF($J344="","",IFERROR(IF($K344="",$B344,$K344)+INDEX(Cadence!$C$4:$C$13,MATCH($J344,Cadence!$A$4:$A$13,0)),""))</f>
        <v/>
      </c>
      <c r="N344" s="20">
        <f>IF($M344="","",IF($M344&lt;TODAY(),"OVERDUE",IF($M344=TODAY(),"DUE TODAY",IF($M344&lt;=TODAY()+7,"THIS WEEK","LATER"))))</f>
        <v/>
      </c>
      <c r="O344" s="17" t="n"/>
      <c r="P344" s="17" t="n"/>
    </row>
    <row r="345">
      <c r="A345" s="17" t="n"/>
      <c r="B345" s="18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8" t="n"/>
      <c r="L345" s="6">
        <f>IF($J345="","",IFERROR(INDEX(Cadence!$B$4:$B$13,MATCH($J345,Cadence!$A$4:$A$13,0)),""))</f>
        <v/>
      </c>
      <c r="M345" s="19">
        <f>IF($J345="","",IFERROR(IF($K345="",$B345,$K345)+INDEX(Cadence!$C$4:$C$13,MATCH($J345,Cadence!$A$4:$A$13,0)),""))</f>
        <v/>
      </c>
      <c r="N345" s="20">
        <f>IF($M345="","",IF($M345&lt;TODAY(),"OVERDUE",IF($M345=TODAY(),"DUE TODAY",IF($M345&lt;=TODAY()+7,"THIS WEEK","LATER"))))</f>
        <v/>
      </c>
      <c r="O345" s="17" t="n"/>
      <c r="P345" s="17" t="n"/>
    </row>
    <row r="346">
      <c r="A346" s="17" t="n"/>
      <c r="B346" s="18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6">
        <f>IF($J346="","",IFERROR(INDEX(Cadence!$B$4:$B$13,MATCH($J346,Cadence!$A$4:$A$13,0)),""))</f>
        <v/>
      </c>
      <c r="M346" s="19">
        <f>IF($J346="","",IFERROR(IF($K346="",$B346,$K346)+INDEX(Cadence!$C$4:$C$13,MATCH($J346,Cadence!$A$4:$A$13,0)),""))</f>
        <v/>
      </c>
      <c r="N346" s="20">
        <f>IF($M346="","",IF($M346&lt;TODAY(),"OVERDUE",IF($M346=TODAY(),"DUE TODAY",IF($M346&lt;=TODAY()+7,"THIS WEEK","LATER"))))</f>
        <v/>
      </c>
      <c r="O346" s="17" t="n"/>
      <c r="P346" s="17" t="n"/>
    </row>
    <row r="347">
      <c r="A347" s="17" t="n"/>
      <c r="B347" s="18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8" t="n"/>
      <c r="L347" s="6">
        <f>IF($J347="","",IFERROR(INDEX(Cadence!$B$4:$B$13,MATCH($J347,Cadence!$A$4:$A$13,0)),""))</f>
        <v/>
      </c>
      <c r="M347" s="19">
        <f>IF($J347="","",IFERROR(IF($K347="",$B347,$K347)+INDEX(Cadence!$C$4:$C$13,MATCH($J347,Cadence!$A$4:$A$13,0)),""))</f>
        <v/>
      </c>
      <c r="N347" s="20">
        <f>IF($M347="","",IF($M347&lt;TODAY(),"OVERDUE",IF($M347=TODAY(),"DUE TODAY",IF($M347&lt;=TODAY()+7,"THIS WEEK","LATER"))))</f>
        <v/>
      </c>
      <c r="O347" s="17" t="n"/>
      <c r="P347" s="17" t="n"/>
    </row>
    <row r="348">
      <c r="A348" s="17" t="n"/>
      <c r="B348" s="18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6">
        <f>IF($J348="","",IFERROR(INDEX(Cadence!$B$4:$B$13,MATCH($J348,Cadence!$A$4:$A$13,0)),""))</f>
        <v/>
      </c>
      <c r="M348" s="19">
        <f>IF($J348="","",IFERROR(IF($K348="",$B348,$K348)+INDEX(Cadence!$C$4:$C$13,MATCH($J348,Cadence!$A$4:$A$13,0)),""))</f>
        <v/>
      </c>
      <c r="N348" s="20">
        <f>IF($M348="","",IF($M348&lt;TODAY(),"OVERDUE",IF($M348=TODAY(),"DUE TODAY",IF($M348&lt;=TODAY()+7,"THIS WEEK","LATER"))))</f>
        <v/>
      </c>
      <c r="O348" s="17" t="n"/>
      <c r="P348" s="17" t="n"/>
    </row>
    <row r="349">
      <c r="A349" s="17" t="n"/>
      <c r="B349" s="18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8" t="n"/>
      <c r="L349" s="6">
        <f>IF($J349="","",IFERROR(INDEX(Cadence!$B$4:$B$13,MATCH($J349,Cadence!$A$4:$A$13,0)),""))</f>
        <v/>
      </c>
      <c r="M349" s="19">
        <f>IF($J349="","",IFERROR(IF($K349="",$B349,$K349)+INDEX(Cadence!$C$4:$C$13,MATCH($J349,Cadence!$A$4:$A$13,0)),""))</f>
        <v/>
      </c>
      <c r="N349" s="20">
        <f>IF($M349="","",IF($M349&lt;TODAY(),"OVERDUE",IF($M349=TODAY(),"DUE TODAY",IF($M349&lt;=TODAY()+7,"THIS WEEK","LATER"))))</f>
        <v/>
      </c>
      <c r="O349" s="17" t="n"/>
      <c r="P349" s="17" t="n"/>
    </row>
    <row r="350">
      <c r="A350" s="17" t="n"/>
      <c r="B350" s="18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6">
        <f>IF($J350="","",IFERROR(INDEX(Cadence!$B$4:$B$13,MATCH($J350,Cadence!$A$4:$A$13,0)),""))</f>
        <v/>
      </c>
      <c r="M350" s="19">
        <f>IF($J350="","",IFERROR(IF($K350="",$B350,$K350)+INDEX(Cadence!$C$4:$C$13,MATCH($J350,Cadence!$A$4:$A$13,0)),""))</f>
        <v/>
      </c>
      <c r="N350" s="20">
        <f>IF($M350="","",IF($M350&lt;TODAY(),"OVERDUE",IF($M350=TODAY(),"DUE TODAY",IF($M350&lt;=TODAY()+7,"THIS WEEK","LATER"))))</f>
        <v/>
      </c>
      <c r="O350" s="17" t="n"/>
      <c r="P350" s="17" t="n"/>
    </row>
    <row r="351">
      <c r="A351" s="17" t="n"/>
      <c r="B351" s="18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8" t="n"/>
      <c r="L351" s="6">
        <f>IF($J351="","",IFERROR(INDEX(Cadence!$B$4:$B$13,MATCH($J351,Cadence!$A$4:$A$13,0)),""))</f>
        <v/>
      </c>
      <c r="M351" s="19">
        <f>IF($J351="","",IFERROR(IF($K351="",$B351,$K351)+INDEX(Cadence!$C$4:$C$13,MATCH($J351,Cadence!$A$4:$A$13,0)),""))</f>
        <v/>
      </c>
      <c r="N351" s="20">
        <f>IF($M351="","",IF($M351&lt;TODAY(),"OVERDUE",IF($M351=TODAY(),"DUE TODAY",IF($M351&lt;=TODAY()+7,"THIS WEEK","LATER"))))</f>
        <v/>
      </c>
      <c r="O351" s="17" t="n"/>
      <c r="P351" s="17" t="n"/>
    </row>
    <row r="352">
      <c r="A352" s="17" t="n"/>
      <c r="B352" s="18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6">
        <f>IF($J352="","",IFERROR(INDEX(Cadence!$B$4:$B$13,MATCH($J352,Cadence!$A$4:$A$13,0)),""))</f>
        <v/>
      </c>
      <c r="M352" s="19">
        <f>IF($J352="","",IFERROR(IF($K352="",$B352,$K352)+INDEX(Cadence!$C$4:$C$13,MATCH($J352,Cadence!$A$4:$A$13,0)),""))</f>
        <v/>
      </c>
      <c r="N352" s="20">
        <f>IF($M352="","",IF($M352&lt;TODAY(),"OVERDUE",IF($M352=TODAY(),"DUE TODAY",IF($M352&lt;=TODAY()+7,"THIS WEEK","LATER"))))</f>
        <v/>
      </c>
      <c r="O352" s="17" t="n"/>
      <c r="P352" s="17" t="n"/>
    </row>
    <row r="353">
      <c r="A353" s="17" t="n"/>
      <c r="B353" s="18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8" t="n"/>
      <c r="L353" s="6">
        <f>IF($J353="","",IFERROR(INDEX(Cadence!$B$4:$B$13,MATCH($J353,Cadence!$A$4:$A$13,0)),""))</f>
        <v/>
      </c>
      <c r="M353" s="19">
        <f>IF($J353="","",IFERROR(IF($K353="",$B353,$K353)+INDEX(Cadence!$C$4:$C$13,MATCH($J353,Cadence!$A$4:$A$13,0)),""))</f>
        <v/>
      </c>
      <c r="N353" s="20">
        <f>IF($M353="","",IF($M353&lt;TODAY(),"OVERDUE",IF($M353=TODAY(),"DUE TODAY",IF($M353&lt;=TODAY()+7,"THIS WEEK","LATER"))))</f>
        <v/>
      </c>
      <c r="O353" s="17" t="n"/>
      <c r="P353" s="17" t="n"/>
    </row>
    <row r="354">
      <c r="A354" s="17" t="n"/>
      <c r="B354" s="18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6">
        <f>IF($J354="","",IFERROR(INDEX(Cadence!$B$4:$B$13,MATCH($J354,Cadence!$A$4:$A$13,0)),""))</f>
        <v/>
      </c>
      <c r="M354" s="19">
        <f>IF($J354="","",IFERROR(IF($K354="",$B354,$K354)+INDEX(Cadence!$C$4:$C$13,MATCH($J354,Cadence!$A$4:$A$13,0)),""))</f>
        <v/>
      </c>
      <c r="N354" s="20">
        <f>IF($M354="","",IF($M354&lt;TODAY(),"OVERDUE",IF($M354=TODAY(),"DUE TODAY",IF($M354&lt;=TODAY()+7,"THIS WEEK","LATER"))))</f>
        <v/>
      </c>
      <c r="O354" s="17" t="n"/>
      <c r="P354" s="17" t="n"/>
    </row>
    <row r="355">
      <c r="A355" s="17" t="n"/>
      <c r="B355" s="18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8" t="n"/>
      <c r="L355" s="6">
        <f>IF($J355="","",IFERROR(INDEX(Cadence!$B$4:$B$13,MATCH($J355,Cadence!$A$4:$A$13,0)),""))</f>
        <v/>
      </c>
      <c r="M355" s="19">
        <f>IF($J355="","",IFERROR(IF($K355="",$B355,$K355)+INDEX(Cadence!$C$4:$C$13,MATCH($J355,Cadence!$A$4:$A$13,0)),""))</f>
        <v/>
      </c>
      <c r="N355" s="20">
        <f>IF($M355="","",IF($M355&lt;TODAY(),"OVERDUE",IF($M355=TODAY(),"DUE TODAY",IF($M355&lt;=TODAY()+7,"THIS WEEK","LATER"))))</f>
        <v/>
      </c>
      <c r="O355" s="17" t="n"/>
      <c r="P355" s="17" t="n"/>
    </row>
    <row r="356">
      <c r="A356" s="17" t="n"/>
      <c r="B356" s="18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6">
        <f>IF($J356="","",IFERROR(INDEX(Cadence!$B$4:$B$13,MATCH($J356,Cadence!$A$4:$A$13,0)),""))</f>
        <v/>
      </c>
      <c r="M356" s="19">
        <f>IF($J356="","",IFERROR(IF($K356="",$B356,$K356)+INDEX(Cadence!$C$4:$C$13,MATCH($J356,Cadence!$A$4:$A$13,0)),""))</f>
        <v/>
      </c>
      <c r="N356" s="20">
        <f>IF($M356="","",IF($M356&lt;TODAY(),"OVERDUE",IF($M356=TODAY(),"DUE TODAY",IF($M356&lt;=TODAY()+7,"THIS WEEK","LATER"))))</f>
        <v/>
      </c>
      <c r="O356" s="17" t="n"/>
      <c r="P356" s="17" t="n"/>
    </row>
    <row r="357">
      <c r="A357" s="17" t="n"/>
      <c r="B357" s="18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8" t="n"/>
      <c r="L357" s="6">
        <f>IF($J357="","",IFERROR(INDEX(Cadence!$B$4:$B$13,MATCH($J357,Cadence!$A$4:$A$13,0)),""))</f>
        <v/>
      </c>
      <c r="M357" s="19">
        <f>IF($J357="","",IFERROR(IF($K357="",$B357,$K357)+INDEX(Cadence!$C$4:$C$13,MATCH($J357,Cadence!$A$4:$A$13,0)),""))</f>
        <v/>
      </c>
      <c r="N357" s="20">
        <f>IF($M357="","",IF($M357&lt;TODAY(),"OVERDUE",IF($M357=TODAY(),"DUE TODAY",IF($M357&lt;=TODAY()+7,"THIS WEEK","LATER"))))</f>
        <v/>
      </c>
      <c r="O357" s="17" t="n"/>
      <c r="P357" s="17" t="n"/>
    </row>
    <row r="358">
      <c r="A358" s="17" t="n"/>
      <c r="B358" s="18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6">
        <f>IF($J358="","",IFERROR(INDEX(Cadence!$B$4:$B$13,MATCH($J358,Cadence!$A$4:$A$13,0)),""))</f>
        <v/>
      </c>
      <c r="M358" s="19">
        <f>IF($J358="","",IFERROR(IF($K358="",$B358,$K358)+INDEX(Cadence!$C$4:$C$13,MATCH($J358,Cadence!$A$4:$A$13,0)),""))</f>
        <v/>
      </c>
      <c r="N358" s="20">
        <f>IF($M358="","",IF($M358&lt;TODAY(),"OVERDUE",IF($M358=TODAY(),"DUE TODAY",IF($M358&lt;=TODAY()+7,"THIS WEEK","LATER"))))</f>
        <v/>
      </c>
      <c r="O358" s="17" t="n"/>
      <c r="P358" s="17" t="n"/>
    </row>
    <row r="359">
      <c r="A359" s="17" t="n"/>
      <c r="B359" s="18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8" t="n"/>
      <c r="L359" s="6">
        <f>IF($J359="","",IFERROR(INDEX(Cadence!$B$4:$B$13,MATCH($J359,Cadence!$A$4:$A$13,0)),""))</f>
        <v/>
      </c>
      <c r="M359" s="19">
        <f>IF($J359="","",IFERROR(IF($K359="",$B359,$K359)+INDEX(Cadence!$C$4:$C$13,MATCH($J359,Cadence!$A$4:$A$13,0)),""))</f>
        <v/>
      </c>
      <c r="N359" s="20">
        <f>IF($M359="","",IF($M359&lt;TODAY(),"OVERDUE",IF($M359=TODAY(),"DUE TODAY",IF($M359&lt;=TODAY()+7,"THIS WEEK","LATER"))))</f>
        <v/>
      </c>
      <c r="O359" s="17" t="n"/>
      <c r="P359" s="17" t="n"/>
    </row>
    <row r="360">
      <c r="A360" s="17" t="n"/>
      <c r="B360" s="18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6">
        <f>IF($J360="","",IFERROR(INDEX(Cadence!$B$4:$B$13,MATCH($J360,Cadence!$A$4:$A$13,0)),""))</f>
        <v/>
      </c>
      <c r="M360" s="19">
        <f>IF($J360="","",IFERROR(IF($K360="",$B360,$K360)+INDEX(Cadence!$C$4:$C$13,MATCH($J360,Cadence!$A$4:$A$13,0)),""))</f>
        <v/>
      </c>
      <c r="N360" s="20">
        <f>IF($M360="","",IF($M360&lt;TODAY(),"OVERDUE",IF($M360=TODAY(),"DUE TODAY",IF($M360&lt;=TODAY()+7,"THIS WEEK","LATER"))))</f>
        <v/>
      </c>
      <c r="O360" s="17" t="n"/>
      <c r="P360" s="17" t="n"/>
    </row>
    <row r="361">
      <c r="A361" s="17" t="n"/>
      <c r="B361" s="18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8" t="n"/>
      <c r="L361" s="6">
        <f>IF($J361="","",IFERROR(INDEX(Cadence!$B$4:$B$13,MATCH($J361,Cadence!$A$4:$A$13,0)),""))</f>
        <v/>
      </c>
      <c r="M361" s="19">
        <f>IF($J361="","",IFERROR(IF($K361="",$B361,$K361)+INDEX(Cadence!$C$4:$C$13,MATCH($J361,Cadence!$A$4:$A$13,0)),""))</f>
        <v/>
      </c>
      <c r="N361" s="20">
        <f>IF($M361="","",IF($M361&lt;TODAY(),"OVERDUE",IF($M361=TODAY(),"DUE TODAY",IF($M361&lt;=TODAY()+7,"THIS WEEK","LATER"))))</f>
        <v/>
      </c>
      <c r="O361" s="17" t="n"/>
      <c r="P361" s="17" t="n"/>
    </row>
    <row r="362">
      <c r="A362" s="17" t="n"/>
      <c r="B362" s="18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6">
        <f>IF($J362="","",IFERROR(INDEX(Cadence!$B$4:$B$13,MATCH($J362,Cadence!$A$4:$A$13,0)),""))</f>
        <v/>
      </c>
      <c r="M362" s="19">
        <f>IF($J362="","",IFERROR(IF($K362="",$B362,$K362)+INDEX(Cadence!$C$4:$C$13,MATCH($J362,Cadence!$A$4:$A$13,0)),""))</f>
        <v/>
      </c>
      <c r="N362" s="20">
        <f>IF($M362="","",IF($M362&lt;TODAY(),"OVERDUE",IF($M362=TODAY(),"DUE TODAY",IF($M362&lt;=TODAY()+7,"THIS WEEK","LATER"))))</f>
        <v/>
      </c>
      <c r="O362" s="17" t="n"/>
      <c r="P362" s="17" t="n"/>
    </row>
    <row r="363">
      <c r="A363" s="17" t="n"/>
      <c r="B363" s="18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8" t="n"/>
      <c r="L363" s="6">
        <f>IF($J363="","",IFERROR(INDEX(Cadence!$B$4:$B$13,MATCH($J363,Cadence!$A$4:$A$13,0)),""))</f>
        <v/>
      </c>
      <c r="M363" s="19">
        <f>IF($J363="","",IFERROR(IF($K363="",$B363,$K363)+INDEX(Cadence!$C$4:$C$13,MATCH($J363,Cadence!$A$4:$A$13,0)),""))</f>
        <v/>
      </c>
      <c r="N363" s="20">
        <f>IF($M363="","",IF($M363&lt;TODAY(),"OVERDUE",IF($M363=TODAY(),"DUE TODAY",IF($M363&lt;=TODAY()+7,"THIS WEEK","LATER"))))</f>
        <v/>
      </c>
      <c r="O363" s="17" t="n"/>
      <c r="P363" s="17" t="n"/>
    </row>
    <row r="364">
      <c r="A364" s="17" t="n"/>
      <c r="B364" s="18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6">
        <f>IF($J364="","",IFERROR(INDEX(Cadence!$B$4:$B$13,MATCH($J364,Cadence!$A$4:$A$13,0)),""))</f>
        <v/>
      </c>
      <c r="M364" s="19">
        <f>IF($J364="","",IFERROR(IF($K364="",$B364,$K364)+INDEX(Cadence!$C$4:$C$13,MATCH($J364,Cadence!$A$4:$A$13,0)),""))</f>
        <v/>
      </c>
      <c r="N364" s="20">
        <f>IF($M364="","",IF($M364&lt;TODAY(),"OVERDUE",IF($M364=TODAY(),"DUE TODAY",IF($M364&lt;=TODAY()+7,"THIS WEEK","LATER"))))</f>
        <v/>
      </c>
      <c r="O364" s="17" t="n"/>
      <c r="P364" s="17" t="n"/>
    </row>
    <row r="365">
      <c r="A365" s="17" t="n"/>
      <c r="B365" s="18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8" t="n"/>
      <c r="L365" s="6">
        <f>IF($J365="","",IFERROR(INDEX(Cadence!$B$4:$B$13,MATCH($J365,Cadence!$A$4:$A$13,0)),""))</f>
        <v/>
      </c>
      <c r="M365" s="19">
        <f>IF($J365="","",IFERROR(IF($K365="",$B365,$K365)+INDEX(Cadence!$C$4:$C$13,MATCH($J365,Cadence!$A$4:$A$13,0)),""))</f>
        <v/>
      </c>
      <c r="N365" s="20">
        <f>IF($M365="","",IF($M365&lt;TODAY(),"OVERDUE",IF($M365=TODAY(),"DUE TODAY",IF($M365&lt;=TODAY()+7,"THIS WEEK","LATER"))))</f>
        <v/>
      </c>
      <c r="O365" s="17" t="n"/>
      <c r="P365" s="17" t="n"/>
    </row>
    <row r="366">
      <c r="A366" s="17" t="n"/>
      <c r="B366" s="18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6">
        <f>IF($J366="","",IFERROR(INDEX(Cadence!$B$4:$B$13,MATCH($J366,Cadence!$A$4:$A$13,0)),""))</f>
        <v/>
      </c>
      <c r="M366" s="19">
        <f>IF($J366="","",IFERROR(IF($K366="",$B366,$K366)+INDEX(Cadence!$C$4:$C$13,MATCH($J366,Cadence!$A$4:$A$13,0)),""))</f>
        <v/>
      </c>
      <c r="N366" s="20">
        <f>IF($M366="","",IF($M366&lt;TODAY(),"OVERDUE",IF($M366=TODAY(),"DUE TODAY",IF($M366&lt;=TODAY()+7,"THIS WEEK","LATER"))))</f>
        <v/>
      </c>
      <c r="O366" s="17" t="n"/>
      <c r="P366" s="17" t="n"/>
    </row>
    <row r="367">
      <c r="A367" s="17" t="n"/>
      <c r="B367" s="18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8" t="n"/>
      <c r="L367" s="6">
        <f>IF($J367="","",IFERROR(INDEX(Cadence!$B$4:$B$13,MATCH($J367,Cadence!$A$4:$A$13,0)),""))</f>
        <v/>
      </c>
      <c r="M367" s="19">
        <f>IF($J367="","",IFERROR(IF($K367="",$B367,$K367)+INDEX(Cadence!$C$4:$C$13,MATCH($J367,Cadence!$A$4:$A$13,0)),""))</f>
        <v/>
      </c>
      <c r="N367" s="20">
        <f>IF($M367="","",IF($M367&lt;TODAY(),"OVERDUE",IF($M367=TODAY(),"DUE TODAY",IF($M367&lt;=TODAY()+7,"THIS WEEK","LATER"))))</f>
        <v/>
      </c>
      <c r="O367" s="17" t="n"/>
      <c r="P367" s="17" t="n"/>
    </row>
    <row r="368">
      <c r="A368" s="17" t="n"/>
      <c r="B368" s="18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6">
        <f>IF($J368="","",IFERROR(INDEX(Cadence!$B$4:$B$13,MATCH($J368,Cadence!$A$4:$A$13,0)),""))</f>
        <v/>
      </c>
      <c r="M368" s="19">
        <f>IF($J368="","",IFERROR(IF($K368="",$B368,$K368)+INDEX(Cadence!$C$4:$C$13,MATCH($J368,Cadence!$A$4:$A$13,0)),""))</f>
        <v/>
      </c>
      <c r="N368" s="20">
        <f>IF($M368="","",IF($M368&lt;TODAY(),"OVERDUE",IF($M368=TODAY(),"DUE TODAY",IF($M368&lt;=TODAY()+7,"THIS WEEK","LATER"))))</f>
        <v/>
      </c>
      <c r="O368" s="17" t="n"/>
      <c r="P368" s="17" t="n"/>
    </row>
    <row r="369">
      <c r="A369" s="17" t="n"/>
      <c r="B369" s="18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8" t="n"/>
      <c r="L369" s="6">
        <f>IF($J369="","",IFERROR(INDEX(Cadence!$B$4:$B$13,MATCH($J369,Cadence!$A$4:$A$13,0)),""))</f>
        <v/>
      </c>
      <c r="M369" s="19">
        <f>IF($J369="","",IFERROR(IF($K369="",$B369,$K369)+INDEX(Cadence!$C$4:$C$13,MATCH($J369,Cadence!$A$4:$A$13,0)),""))</f>
        <v/>
      </c>
      <c r="N369" s="20">
        <f>IF($M369="","",IF($M369&lt;TODAY(),"OVERDUE",IF($M369=TODAY(),"DUE TODAY",IF($M369&lt;=TODAY()+7,"THIS WEEK","LATER"))))</f>
        <v/>
      </c>
      <c r="O369" s="17" t="n"/>
      <c r="P369" s="17" t="n"/>
    </row>
    <row r="370">
      <c r="A370" s="17" t="n"/>
      <c r="B370" s="18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6">
        <f>IF($J370="","",IFERROR(INDEX(Cadence!$B$4:$B$13,MATCH($J370,Cadence!$A$4:$A$13,0)),""))</f>
        <v/>
      </c>
      <c r="M370" s="19">
        <f>IF($J370="","",IFERROR(IF($K370="",$B370,$K370)+INDEX(Cadence!$C$4:$C$13,MATCH($J370,Cadence!$A$4:$A$13,0)),""))</f>
        <v/>
      </c>
      <c r="N370" s="20">
        <f>IF($M370="","",IF($M370&lt;TODAY(),"OVERDUE",IF($M370=TODAY(),"DUE TODAY",IF($M370&lt;=TODAY()+7,"THIS WEEK","LATER"))))</f>
        <v/>
      </c>
      <c r="O370" s="17" t="n"/>
      <c r="P370" s="17" t="n"/>
    </row>
    <row r="371">
      <c r="A371" s="17" t="n"/>
      <c r="B371" s="18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8" t="n"/>
      <c r="L371" s="6">
        <f>IF($J371="","",IFERROR(INDEX(Cadence!$B$4:$B$13,MATCH($J371,Cadence!$A$4:$A$13,0)),""))</f>
        <v/>
      </c>
      <c r="M371" s="19">
        <f>IF($J371="","",IFERROR(IF($K371="",$B371,$K371)+INDEX(Cadence!$C$4:$C$13,MATCH($J371,Cadence!$A$4:$A$13,0)),""))</f>
        <v/>
      </c>
      <c r="N371" s="20">
        <f>IF($M371="","",IF($M371&lt;TODAY(),"OVERDUE",IF($M371=TODAY(),"DUE TODAY",IF($M371&lt;=TODAY()+7,"THIS WEEK","LATER"))))</f>
        <v/>
      </c>
      <c r="O371" s="17" t="n"/>
      <c r="P371" s="17" t="n"/>
    </row>
    <row r="372">
      <c r="A372" s="17" t="n"/>
      <c r="B372" s="18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6">
        <f>IF($J372="","",IFERROR(INDEX(Cadence!$B$4:$B$13,MATCH($J372,Cadence!$A$4:$A$13,0)),""))</f>
        <v/>
      </c>
      <c r="M372" s="19">
        <f>IF($J372="","",IFERROR(IF($K372="",$B372,$K372)+INDEX(Cadence!$C$4:$C$13,MATCH($J372,Cadence!$A$4:$A$13,0)),""))</f>
        <v/>
      </c>
      <c r="N372" s="20">
        <f>IF($M372="","",IF($M372&lt;TODAY(),"OVERDUE",IF($M372=TODAY(),"DUE TODAY",IF($M372&lt;=TODAY()+7,"THIS WEEK","LATER"))))</f>
        <v/>
      </c>
      <c r="O372" s="17" t="n"/>
      <c r="P372" s="17" t="n"/>
    </row>
    <row r="373">
      <c r="A373" s="17" t="n"/>
      <c r="B373" s="18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8" t="n"/>
      <c r="L373" s="6">
        <f>IF($J373="","",IFERROR(INDEX(Cadence!$B$4:$B$13,MATCH($J373,Cadence!$A$4:$A$13,0)),""))</f>
        <v/>
      </c>
      <c r="M373" s="19">
        <f>IF($J373="","",IFERROR(IF($K373="",$B373,$K373)+INDEX(Cadence!$C$4:$C$13,MATCH($J373,Cadence!$A$4:$A$13,0)),""))</f>
        <v/>
      </c>
      <c r="N373" s="20">
        <f>IF($M373="","",IF($M373&lt;TODAY(),"OVERDUE",IF($M373=TODAY(),"DUE TODAY",IF($M373&lt;=TODAY()+7,"THIS WEEK","LATER"))))</f>
        <v/>
      </c>
      <c r="O373" s="17" t="n"/>
      <c r="P373" s="17" t="n"/>
    </row>
    <row r="374">
      <c r="A374" s="17" t="n"/>
      <c r="B374" s="18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6">
        <f>IF($J374="","",IFERROR(INDEX(Cadence!$B$4:$B$13,MATCH($J374,Cadence!$A$4:$A$13,0)),""))</f>
        <v/>
      </c>
      <c r="M374" s="19">
        <f>IF($J374="","",IFERROR(IF($K374="",$B374,$K374)+INDEX(Cadence!$C$4:$C$13,MATCH($J374,Cadence!$A$4:$A$13,0)),""))</f>
        <v/>
      </c>
      <c r="N374" s="20">
        <f>IF($M374="","",IF($M374&lt;TODAY(),"OVERDUE",IF($M374=TODAY(),"DUE TODAY",IF($M374&lt;=TODAY()+7,"THIS WEEK","LATER"))))</f>
        <v/>
      </c>
      <c r="O374" s="17" t="n"/>
      <c r="P374" s="17" t="n"/>
    </row>
    <row r="375">
      <c r="A375" s="17" t="n"/>
      <c r="B375" s="18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8" t="n"/>
      <c r="L375" s="6">
        <f>IF($J375="","",IFERROR(INDEX(Cadence!$B$4:$B$13,MATCH($J375,Cadence!$A$4:$A$13,0)),""))</f>
        <v/>
      </c>
      <c r="M375" s="19">
        <f>IF($J375="","",IFERROR(IF($K375="",$B375,$K375)+INDEX(Cadence!$C$4:$C$13,MATCH($J375,Cadence!$A$4:$A$13,0)),""))</f>
        <v/>
      </c>
      <c r="N375" s="20">
        <f>IF($M375="","",IF($M375&lt;TODAY(),"OVERDUE",IF($M375=TODAY(),"DUE TODAY",IF($M375&lt;=TODAY()+7,"THIS WEEK","LATER"))))</f>
        <v/>
      </c>
      <c r="O375" s="17" t="n"/>
      <c r="P375" s="17" t="n"/>
    </row>
    <row r="376">
      <c r="A376" s="17" t="n"/>
      <c r="B376" s="18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6">
        <f>IF($J376="","",IFERROR(INDEX(Cadence!$B$4:$B$13,MATCH($J376,Cadence!$A$4:$A$13,0)),""))</f>
        <v/>
      </c>
      <c r="M376" s="19">
        <f>IF($J376="","",IFERROR(IF($K376="",$B376,$K376)+INDEX(Cadence!$C$4:$C$13,MATCH($J376,Cadence!$A$4:$A$13,0)),""))</f>
        <v/>
      </c>
      <c r="N376" s="20">
        <f>IF($M376="","",IF($M376&lt;TODAY(),"OVERDUE",IF($M376=TODAY(),"DUE TODAY",IF($M376&lt;=TODAY()+7,"THIS WEEK","LATER"))))</f>
        <v/>
      </c>
      <c r="O376" s="17" t="n"/>
      <c r="P376" s="17" t="n"/>
    </row>
    <row r="377">
      <c r="A377" s="17" t="n"/>
      <c r="B377" s="18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8" t="n"/>
      <c r="L377" s="6">
        <f>IF($J377="","",IFERROR(INDEX(Cadence!$B$4:$B$13,MATCH($J377,Cadence!$A$4:$A$13,0)),""))</f>
        <v/>
      </c>
      <c r="M377" s="19">
        <f>IF($J377="","",IFERROR(IF($K377="",$B377,$K377)+INDEX(Cadence!$C$4:$C$13,MATCH($J377,Cadence!$A$4:$A$13,0)),""))</f>
        <v/>
      </c>
      <c r="N377" s="20">
        <f>IF($M377="","",IF($M377&lt;TODAY(),"OVERDUE",IF($M377=TODAY(),"DUE TODAY",IF($M377&lt;=TODAY()+7,"THIS WEEK","LATER"))))</f>
        <v/>
      </c>
      <c r="O377" s="17" t="n"/>
      <c r="P377" s="17" t="n"/>
    </row>
    <row r="378">
      <c r="A378" s="17" t="n"/>
      <c r="B378" s="18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6">
        <f>IF($J378="","",IFERROR(INDEX(Cadence!$B$4:$B$13,MATCH($J378,Cadence!$A$4:$A$13,0)),""))</f>
        <v/>
      </c>
      <c r="M378" s="19">
        <f>IF($J378="","",IFERROR(IF($K378="",$B378,$K378)+INDEX(Cadence!$C$4:$C$13,MATCH($J378,Cadence!$A$4:$A$13,0)),""))</f>
        <v/>
      </c>
      <c r="N378" s="20">
        <f>IF($M378="","",IF($M378&lt;TODAY(),"OVERDUE",IF($M378=TODAY(),"DUE TODAY",IF($M378&lt;=TODAY()+7,"THIS WEEK","LATER"))))</f>
        <v/>
      </c>
      <c r="O378" s="17" t="n"/>
      <c r="P378" s="17" t="n"/>
    </row>
    <row r="379">
      <c r="A379" s="17" t="n"/>
      <c r="B379" s="18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8" t="n"/>
      <c r="L379" s="6">
        <f>IF($J379="","",IFERROR(INDEX(Cadence!$B$4:$B$13,MATCH($J379,Cadence!$A$4:$A$13,0)),""))</f>
        <v/>
      </c>
      <c r="M379" s="19">
        <f>IF($J379="","",IFERROR(IF($K379="",$B379,$K379)+INDEX(Cadence!$C$4:$C$13,MATCH($J379,Cadence!$A$4:$A$13,0)),""))</f>
        <v/>
      </c>
      <c r="N379" s="20">
        <f>IF($M379="","",IF($M379&lt;TODAY(),"OVERDUE",IF($M379=TODAY(),"DUE TODAY",IF($M379&lt;=TODAY()+7,"THIS WEEK","LATER"))))</f>
        <v/>
      </c>
      <c r="O379" s="17" t="n"/>
      <c r="P379" s="17" t="n"/>
    </row>
    <row r="380">
      <c r="A380" s="17" t="n"/>
      <c r="B380" s="18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6">
        <f>IF($J380="","",IFERROR(INDEX(Cadence!$B$4:$B$13,MATCH($J380,Cadence!$A$4:$A$13,0)),""))</f>
        <v/>
      </c>
      <c r="M380" s="19">
        <f>IF($J380="","",IFERROR(IF($K380="",$B380,$K380)+INDEX(Cadence!$C$4:$C$13,MATCH($J380,Cadence!$A$4:$A$13,0)),""))</f>
        <v/>
      </c>
      <c r="N380" s="20">
        <f>IF($M380="","",IF($M380&lt;TODAY(),"OVERDUE",IF($M380=TODAY(),"DUE TODAY",IF($M380&lt;=TODAY()+7,"THIS WEEK","LATER"))))</f>
        <v/>
      </c>
      <c r="O380" s="17" t="n"/>
      <c r="P380" s="17" t="n"/>
    </row>
    <row r="381">
      <c r="A381" s="17" t="n"/>
      <c r="B381" s="18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8" t="n"/>
      <c r="L381" s="6">
        <f>IF($J381="","",IFERROR(INDEX(Cadence!$B$4:$B$13,MATCH($J381,Cadence!$A$4:$A$13,0)),""))</f>
        <v/>
      </c>
      <c r="M381" s="19">
        <f>IF($J381="","",IFERROR(IF($K381="",$B381,$K381)+INDEX(Cadence!$C$4:$C$13,MATCH($J381,Cadence!$A$4:$A$13,0)),""))</f>
        <v/>
      </c>
      <c r="N381" s="20">
        <f>IF($M381="","",IF($M381&lt;TODAY(),"OVERDUE",IF($M381=TODAY(),"DUE TODAY",IF($M381&lt;=TODAY()+7,"THIS WEEK","LATER"))))</f>
        <v/>
      </c>
      <c r="O381" s="17" t="n"/>
      <c r="P381" s="17" t="n"/>
    </row>
    <row r="382">
      <c r="A382" s="17" t="n"/>
      <c r="B382" s="18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6">
        <f>IF($J382="","",IFERROR(INDEX(Cadence!$B$4:$B$13,MATCH($J382,Cadence!$A$4:$A$13,0)),""))</f>
        <v/>
      </c>
      <c r="M382" s="19">
        <f>IF($J382="","",IFERROR(IF($K382="",$B382,$K382)+INDEX(Cadence!$C$4:$C$13,MATCH($J382,Cadence!$A$4:$A$13,0)),""))</f>
        <v/>
      </c>
      <c r="N382" s="20">
        <f>IF($M382="","",IF($M382&lt;TODAY(),"OVERDUE",IF($M382=TODAY(),"DUE TODAY",IF($M382&lt;=TODAY()+7,"THIS WEEK","LATER"))))</f>
        <v/>
      </c>
      <c r="O382" s="17" t="n"/>
      <c r="P382" s="17" t="n"/>
    </row>
    <row r="383">
      <c r="A383" s="17" t="n"/>
      <c r="B383" s="18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8" t="n"/>
      <c r="L383" s="6">
        <f>IF($J383="","",IFERROR(INDEX(Cadence!$B$4:$B$13,MATCH($J383,Cadence!$A$4:$A$13,0)),""))</f>
        <v/>
      </c>
      <c r="M383" s="19">
        <f>IF($J383="","",IFERROR(IF($K383="",$B383,$K383)+INDEX(Cadence!$C$4:$C$13,MATCH($J383,Cadence!$A$4:$A$13,0)),""))</f>
        <v/>
      </c>
      <c r="N383" s="20">
        <f>IF($M383="","",IF($M383&lt;TODAY(),"OVERDUE",IF($M383=TODAY(),"DUE TODAY",IF($M383&lt;=TODAY()+7,"THIS WEEK","LATER"))))</f>
        <v/>
      </c>
      <c r="O383" s="17" t="n"/>
      <c r="P383" s="17" t="n"/>
    </row>
    <row r="384">
      <c r="A384" s="17" t="n"/>
      <c r="B384" s="18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6">
        <f>IF($J384="","",IFERROR(INDEX(Cadence!$B$4:$B$13,MATCH($J384,Cadence!$A$4:$A$13,0)),""))</f>
        <v/>
      </c>
      <c r="M384" s="19">
        <f>IF($J384="","",IFERROR(IF($K384="",$B384,$K384)+INDEX(Cadence!$C$4:$C$13,MATCH($J384,Cadence!$A$4:$A$13,0)),""))</f>
        <v/>
      </c>
      <c r="N384" s="20">
        <f>IF($M384="","",IF($M384&lt;TODAY(),"OVERDUE",IF($M384=TODAY(),"DUE TODAY",IF($M384&lt;=TODAY()+7,"THIS WEEK","LATER"))))</f>
        <v/>
      </c>
      <c r="O384" s="17" t="n"/>
      <c r="P384" s="17" t="n"/>
    </row>
    <row r="385">
      <c r="A385" s="17" t="n"/>
      <c r="B385" s="18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8" t="n"/>
      <c r="L385" s="6">
        <f>IF($J385="","",IFERROR(INDEX(Cadence!$B$4:$B$13,MATCH($J385,Cadence!$A$4:$A$13,0)),""))</f>
        <v/>
      </c>
      <c r="M385" s="19">
        <f>IF($J385="","",IFERROR(IF($K385="",$B385,$K385)+INDEX(Cadence!$C$4:$C$13,MATCH($J385,Cadence!$A$4:$A$13,0)),""))</f>
        <v/>
      </c>
      <c r="N385" s="20">
        <f>IF($M385="","",IF($M385&lt;TODAY(),"OVERDUE",IF($M385=TODAY(),"DUE TODAY",IF($M385&lt;=TODAY()+7,"THIS WEEK","LATER"))))</f>
        <v/>
      </c>
      <c r="O385" s="17" t="n"/>
      <c r="P385" s="17" t="n"/>
    </row>
    <row r="386">
      <c r="A386" s="17" t="n"/>
      <c r="B386" s="18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6">
        <f>IF($J386="","",IFERROR(INDEX(Cadence!$B$4:$B$13,MATCH($J386,Cadence!$A$4:$A$13,0)),""))</f>
        <v/>
      </c>
      <c r="M386" s="19">
        <f>IF($J386="","",IFERROR(IF($K386="",$B386,$K386)+INDEX(Cadence!$C$4:$C$13,MATCH($J386,Cadence!$A$4:$A$13,0)),""))</f>
        <v/>
      </c>
      <c r="N386" s="20">
        <f>IF($M386="","",IF($M386&lt;TODAY(),"OVERDUE",IF($M386=TODAY(),"DUE TODAY",IF($M386&lt;=TODAY()+7,"THIS WEEK","LATER"))))</f>
        <v/>
      </c>
      <c r="O386" s="17" t="n"/>
      <c r="P386" s="17" t="n"/>
    </row>
    <row r="387">
      <c r="A387" s="17" t="n"/>
      <c r="B387" s="18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8" t="n"/>
      <c r="L387" s="6">
        <f>IF($J387="","",IFERROR(INDEX(Cadence!$B$4:$B$13,MATCH($J387,Cadence!$A$4:$A$13,0)),""))</f>
        <v/>
      </c>
      <c r="M387" s="19">
        <f>IF($J387="","",IFERROR(IF($K387="",$B387,$K387)+INDEX(Cadence!$C$4:$C$13,MATCH($J387,Cadence!$A$4:$A$13,0)),""))</f>
        <v/>
      </c>
      <c r="N387" s="20">
        <f>IF($M387="","",IF($M387&lt;TODAY(),"OVERDUE",IF($M387=TODAY(),"DUE TODAY",IF($M387&lt;=TODAY()+7,"THIS WEEK","LATER"))))</f>
        <v/>
      </c>
      <c r="O387" s="17" t="n"/>
      <c r="P387" s="17" t="n"/>
    </row>
    <row r="388">
      <c r="A388" s="17" t="n"/>
      <c r="B388" s="18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6">
        <f>IF($J388="","",IFERROR(INDEX(Cadence!$B$4:$B$13,MATCH($J388,Cadence!$A$4:$A$13,0)),""))</f>
        <v/>
      </c>
      <c r="M388" s="19">
        <f>IF($J388="","",IFERROR(IF($K388="",$B388,$K388)+INDEX(Cadence!$C$4:$C$13,MATCH($J388,Cadence!$A$4:$A$13,0)),""))</f>
        <v/>
      </c>
      <c r="N388" s="20">
        <f>IF($M388="","",IF($M388&lt;TODAY(),"OVERDUE",IF($M388=TODAY(),"DUE TODAY",IF($M388&lt;=TODAY()+7,"THIS WEEK","LATER"))))</f>
        <v/>
      </c>
      <c r="O388" s="17" t="n"/>
      <c r="P388" s="17" t="n"/>
    </row>
    <row r="389">
      <c r="A389" s="17" t="n"/>
      <c r="B389" s="18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8" t="n"/>
      <c r="L389" s="6">
        <f>IF($J389="","",IFERROR(INDEX(Cadence!$B$4:$B$13,MATCH($J389,Cadence!$A$4:$A$13,0)),""))</f>
        <v/>
      </c>
      <c r="M389" s="19">
        <f>IF($J389="","",IFERROR(IF($K389="",$B389,$K389)+INDEX(Cadence!$C$4:$C$13,MATCH($J389,Cadence!$A$4:$A$13,0)),""))</f>
        <v/>
      </c>
      <c r="N389" s="20">
        <f>IF($M389="","",IF($M389&lt;TODAY(),"OVERDUE",IF($M389=TODAY(),"DUE TODAY",IF($M389&lt;=TODAY()+7,"THIS WEEK","LATER"))))</f>
        <v/>
      </c>
      <c r="O389" s="17" t="n"/>
      <c r="P389" s="17" t="n"/>
    </row>
    <row r="390">
      <c r="A390" s="17" t="n"/>
      <c r="B390" s="18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6">
        <f>IF($J390="","",IFERROR(INDEX(Cadence!$B$4:$B$13,MATCH($J390,Cadence!$A$4:$A$13,0)),""))</f>
        <v/>
      </c>
      <c r="M390" s="19">
        <f>IF($J390="","",IFERROR(IF($K390="",$B390,$K390)+INDEX(Cadence!$C$4:$C$13,MATCH($J390,Cadence!$A$4:$A$13,0)),""))</f>
        <v/>
      </c>
      <c r="N390" s="20">
        <f>IF($M390="","",IF($M390&lt;TODAY(),"OVERDUE",IF($M390=TODAY(),"DUE TODAY",IF($M390&lt;=TODAY()+7,"THIS WEEK","LATER"))))</f>
        <v/>
      </c>
      <c r="O390" s="17" t="n"/>
      <c r="P390" s="17" t="n"/>
    </row>
    <row r="391">
      <c r="A391" s="17" t="n"/>
      <c r="B391" s="18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8" t="n"/>
      <c r="L391" s="6">
        <f>IF($J391="","",IFERROR(INDEX(Cadence!$B$4:$B$13,MATCH($J391,Cadence!$A$4:$A$13,0)),""))</f>
        <v/>
      </c>
      <c r="M391" s="19">
        <f>IF($J391="","",IFERROR(IF($K391="",$B391,$K391)+INDEX(Cadence!$C$4:$C$13,MATCH($J391,Cadence!$A$4:$A$13,0)),""))</f>
        <v/>
      </c>
      <c r="N391" s="20">
        <f>IF($M391="","",IF($M391&lt;TODAY(),"OVERDUE",IF($M391=TODAY(),"DUE TODAY",IF($M391&lt;=TODAY()+7,"THIS WEEK","LATER"))))</f>
        <v/>
      </c>
      <c r="O391" s="17" t="n"/>
      <c r="P391" s="17" t="n"/>
    </row>
    <row r="392">
      <c r="A392" s="17" t="n"/>
      <c r="B392" s="18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6">
        <f>IF($J392="","",IFERROR(INDEX(Cadence!$B$4:$B$13,MATCH($J392,Cadence!$A$4:$A$13,0)),""))</f>
        <v/>
      </c>
      <c r="M392" s="19">
        <f>IF($J392="","",IFERROR(IF($K392="",$B392,$K392)+INDEX(Cadence!$C$4:$C$13,MATCH($J392,Cadence!$A$4:$A$13,0)),""))</f>
        <v/>
      </c>
      <c r="N392" s="20">
        <f>IF($M392="","",IF($M392&lt;TODAY(),"OVERDUE",IF($M392=TODAY(),"DUE TODAY",IF($M392&lt;=TODAY()+7,"THIS WEEK","LATER"))))</f>
        <v/>
      </c>
      <c r="O392" s="17" t="n"/>
      <c r="P392" s="17" t="n"/>
    </row>
    <row r="393">
      <c r="A393" s="17" t="n"/>
      <c r="B393" s="18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8" t="n"/>
      <c r="L393" s="6">
        <f>IF($J393="","",IFERROR(INDEX(Cadence!$B$4:$B$13,MATCH($J393,Cadence!$A$4:$A$13,0)),""))</f>
        <v/>
      </c>
      <c r="M393" s="19">
        <f>IF($J393="","",IFERROR(IF($K393="",$B393,$K393)+INDEX(Cadence!$C$4:$C$13,MATCH($J393,Cadence!$A$4:$A$13,0)),""))</f>
        <v/>
      </c>
      <c r="N393" s="20">
        <f>IF($M393="","",IF($M393&lt;TODAY(),"OVERDUE",IF($M393=TODAY(),"DUE TODAY",IF($M393&lt;=TODAY()+7,"THIS WEEK","LATER"))))</f>
        <v/>
      </c>
      <c r="O393" s="17" t="n"/>
      <c r="P393" s="17" t="n"/>
    </row>
    <row r="394">
      <c r="A394" s="17" t="n"/>
      <c r="B394" s="18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6">
        <f>IF($J394="","",IFERROR(INDEX(Cadence!$B$4:$B$13,MATCH($J394,Cadence!$A$4:$A$13,0)),""))</f>
        <v/>
      </c>
      <c r="M394" s="19">
        <f>IF($J394="","",IFERROR(IF($K394="",$B394,$K394)+INDEX(Cadence!$C$4:$C$13,MATCH($J394,Cadence!$A$4:$A$13,0)),""))</f>
        <v/>
      </c>
      <c r="N394" s="20">
        <f>IF($M394="","",IF($M394&lt;TODAY(),"OVERDUE",IF($M394=TODAY(),"DUE TODAY",IF($M394&lt;=TODAY()+7,"THIS WEEK","LATER"))))</f>
        <v/>
      </c>
      <c r="O394" s="17" t="n"/>
      <c r="P394" s="17" t="n"/>
    </row>
    <row r="395">
      <c r="A395" s="17" t="n"/>
      <c r="B395" s="18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8" t="n"/>
      <c r="L395" s="6">
        <f>IF($J395="","",IFERROR(INDEX(Cadence!$B$4:$B$13,MATCH($J395,Cadence!$A$4:$A$13,0)),""))</f>
        <v/>
      </c>
      <c r="M395" s="19">
        <f>IF($J395="","",IFERROR(IF($K395="",$B395,$K395)+INDEX(Cadence!$C$4:$C$13,MATCH($J395,Cadence!$A$4:$A$13,0)),""))</f>
        <v/>
      </c>
      <c r="N395" s="20">
        <f>IF($M395="","",IF($M395&lt;TODAY(),"OVERDUE",IF($M395=TODAY(),"DUE TODAY",IF($M395&lt;=TODAY()+7,"THIS WEEK","LATER"))))</f>
        <v/>
      </c>
      <c r="O395" s="17" t="n"/>
      <c r="P395" s="17" t="n"/>
    </row>
    <row r="396">
      <c r="A396" s="17" t="n"/>
      <c r="B396" s="18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6">
        <f>IF($J396="","",IFERROR(INDEX(Cadence!$B$4:$B$13,MATCH($J396,Cadence!$A$4:$A$13,0)),""))</f>
        <v/>
      </c>
      <c r="M396" s="19">
        <f>IF($J396="","",IFERROR(IF($K396="",$B396,$K396)+INDEX(Cadence!$C$4:$C$13,MATCH($J396,Cadence!$A$4:$A$13,0)),""))</f>
        <v/>
      </c>
      <c r="N396" s="20">
        <f>IF($M396="","",IF($M396&lt;TODAY(),"OVERDUE",IF($M396=TODAY(),"DUE TODAY",IF($M396&lt;=TODAY()+7,"THIS WEEK","LATER"))))</f>
        <v/>
      </c>
      <c r="O396" s="17" t="n"/>
      <c r="P396" s="17" t="n"/>
    </row>
    <row r="397">
      <c r="A397" s="17" t="n"/>
      <c r="B397" s="18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8" t="n"/>
      <c r="L397" s="6">
        <f>IF($J397="","",IFERROR(INDEX(Cadence!$B$4:$B$13,MATCH($J397,Cadence!$A$4:$A$13,0)),""))</f>
        <v/>
      </c>
      <c r="M397" s="19">
        <f>IF($J397="","",IFERROR(IF($K397="",$B397,$K397)+INDEX(Cadence!$C$4:$C$13,MATCH($J397,Cadence!$A$4:$A$13,0)),""))</f>
        <v/>
      </c>
      <c r="N397" s="20">
        <f>IF($M397="","",IF($M397&lt;TODAY(),"OVERDUE",IF($M397=TODAY(),"DUE TODAY",IF($M397&lt;=TODAY()+7,"THIS WEEK","LATER"))))</f>
        <v/>
      </c>
      <c r="O397" s="17" t="n"/>
      <c r="P397" s="17" t="n"/>
    </row>
    <row r="398">
      <c r="A398" s="17" t="n"/>
      <c r="B398" s="18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6">
        <f>IF($J398="","",IFERROR(INDEX(Cadence!$B$4:$B$13,MATCH($J398,Cadence!$A$4:$A$13,0)),""))</f>
        <v/>
      </c>
      <c r="M398" s="19">
        <f>IF($J398="","",IFERROR(IF($K398="",$B398,$K398)+INDEX(Cadence!$C$4:$C$13,MATCH($J398,Cadence!$A$4:$A$13,0)),""))</f>
        <v/>
      </c>
      <c r="N398" s="20">
        <f>IF($M398="","",IF($M398&lt;TODAY(),"OVERDUE",IF($M398=TODAY(),"DUE TODAY",IF($M398&lt;=TODAY()+7,"THIS WEEK","LATER"))))</f>
        <v/>
      </c>
      <c r="O398" s="17" t="n"/>
      <c r="P398" s="17" t="n"/>
    </row>
    <row r="399">
      <c r="A399" s="17" t="n"/>
      <c r="B399" s="18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8" t="n"/>
      <c r="L399" s="6">
        <f>IF($J399="","",IFERROR(INDEX(Cadence!$B$4:$B$13,MATCH($J399,Cadence!$A$4:$A$13,0)),""))</f>
        <v/>
      </c>
      <c r="M399" s="19">
        <f>IF($J399="","",IFERROR(IF($K399="",$B399,$K399)+INDEX(Cadence!$C$4:$C$13,MATCH($J399,Cadence!$A$4:$A$13,0)),""))</f>
        <v/>
      </c>
      <c r="N399" s="20">
        <f>IF($M399="","",IF($M399&lt;TODAY(),"OVERDUE",IF($M399=TODAY(),"DUE TODAY",IF($M399&lt;=TODAY()+7,"THIS WEEK","LATER"))))</f>
        <v/>
      </c>
      <c r="O399" s="17" t="n"/>
      <c r="P399" s="17" t="n"/>
    </row>
    <row r="400">
      <c r="A400" s="17" t="n"/>
      <c r="B400" s="18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6">
        <f>IF($J400="","",IFERROR(INDEX(Cadence!$B$4:$B$13,MATCH($J400,Cadence!$A$4:$A$13,0)),""))</f>
        <v/>
      </c>
      <c r="M400" s="19">
        <f>IF($J400="","",IFERROR(IF($K400="",$B400,$K400)+INDEX(Cadence!$C$4:$C$13,MATCH($J400,Cadence!$A$4:$A$13,0)),""))</f>
        <v/>
      </c>
      <c r="N400" s="20">
        <f>IF($M400="","",IF($M400&lt;TODAY(),"OVERDUE",IF($M400=TODAY(),"DUE TODAY",IF($M400&lt;=TODAY()+7,"THIS WEEK","LATER"))))</f>
        <v/>
      </c>
      <c r="O400" s="17" t="n"/>
      <c r="P400" s="17" t="n"/>
    </row>
    <row r="401">
      <c r="A401" s="17" t="n"/>
      <c r="B401" s="18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8" t="n"/>
      <c r="L401" s="6">
        <f>IF($J401="","",IFERROR(INDEX(Cadence!$B$4:$B$13,MATCH($J401,Cadence!$A$4:$A$13,0)),""))</f>
        <v/>
      </c>
      <c r="M401" s="19">
        <f>IF($J401="","",IFERROR(IF($K401="",$B401,$K401)+INDEX(Cadence!$C$4:$C$13,MATCH($J401,Cadence!$A$4:$A$13,0)),""))</f>
        <v/>
      </c>
      <c r="N401" s="20">
        <f>IF($M401="","",IF($M401&lt;TODAY(),"OVERDUE",IF($M401=TODAY(),"DUE TODAY",IF($M401&lt;=TODAY()+7,"THIS WEEK","LATER"))))</f>
        <v/>
      </c>
      <c r="O401" s="17" t="n"/>
      <c r="P401" s="17" t="n"/>
    </row>
    <row r="402">
      <c r="A402" s="17" t="n"/>
      <c r="B402" s="18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6">
        <f>IF($J402="","",IFERROR(INDEX(Cadence!$B$4:$B$13,MATCH($J402,Cadence!$A$4:$A$13,0)),""))</f>
        <v/>
      </c>
      <c r="M402" s="19">
        <f>IF($J402="","",IFERROR(IF($K402="",$B402,$K402)+INDEX(Cadence!$C$4:$C$13,MATCH($J402,Cadence!$A$4:$A$13,0)),""))</f>
        <v/>
      </c>
      <c r="N402" s="20">
        <f>IF($M402="","",IF($M402&lt;TODAY(),"OVERDUE",IF($M402=TODAY(),"DUE TODAY",IF($M402&lt;=TODAY()+7,"THIS WEEK","LATER"))))</f>
        <v/>
      </c>
      <c r="O402" s="17" t="n"/>
      <c r="P402" s="17" t="n"/>
    </row>
    <row r="403">
      <c r="A403" s="17" t="n"/>
      <c r="B403" s="18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8" t="n"/>
      <c r="L403" s="6">
        <f>IF($J403="","",IFERROR(INDEX(Cadence!$B$4:$B$13,MATCH($J403,Cadence!$A$4:$A$13,0)),""))</f>
        <v/>
      </c>
      <c r="M403" s="19">
        <f>IF($J403="","",IFERROR(IF($K403="",$B403,$K403)+INDEX(Cadence!$C$4:$C$13,MATCH($J403,Cadence!$A$4:$A$13,0)),""))</f>
        <v/>
      </c>
      <c r="N403" s="20">
        <f>IF($M403="","",IF($M403&lt;TODAY(),"OVERDUE",IF($M403=TODAY(),"DUE TODAY",IF($M403&lt;=TODAY()+7,"THIS WEEK","LATER"))))</f>
        <v/>
      </c>
      <c r="O403" s="17" t="n"/>
      <c r="P403" s="17" t="n"/>
    </row>
    <row r="404">
      <c r="A404" s="17" t="n"/>
      <c r="B404" s="18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6">
        <f>IF($J404="","",IFERROR(INDEX(Cadence!$B$4:$B$13,MATCH($J404,Cadence!$A$4:$A$13,0)),""))</f>
        <v/>
      </c>
      <c r="M404" s="19">
        <f>IF($J404="","",IFERROR(IF($K404="",$B404,$K404)+INDEX(Cadence!$C$4:$C$13,MATCH($J404,Cadence!$A$4:$A$13,0)),""))</f>
        <v/>
      </c>
      <c r="N404" s="20">
        <f>IF($M404="","",IF($M404&lt;TODAY(),"OVERDUE",IF($M404=TODAY(),"DUE TODAY",IF($M404&lt;=TODAY()+7,"THIS WEEK","LATER"))))</f>
        <v/>
      </c>
      <c r="O404" s="17" t="n"/>
      <c r="P404" s="17" t="n"/>
    </row>
    <row r="405">
      <c r="A405" s="17" t="n"/>
      <c r="B405" s="18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8" t="n"/>
      <c r="L405" s="6">
        <f>IF($J405="","",IFERROR(INDEX(Cadence!$B$4:$B$13,MATCH($J405,Cadence!$A$4:$A$13,0)),""))</f>
        <v/>
      </c>
      <c r="M405" s="19">
        <f>IF($J405="","",IFERROR(IF($K405="",$B405,$K405)+INDEX(Cadence!$C$4:$C$13,MATCH($J405,Cadence!$A$4:$A$13,0)),""))</f>
        <v/>
      </c>
      <c r="N405" s="20">
        <f>IF($M405="","",IF($M405&lt;TODAY(),"OVERDUE",IF($M405=TODAY(),"DUE TODAY",IF($M405&lt;=TODAY()+7,"THIS WEEK","LATER"))))</f>
        <v/>
      </c>
      <c r="O405" s="17" t="n"/>
      <c r="P405" s="17" t="n"/>
    </row>
    <row r="406">
      <c r="A406" s="17" t="n"/>
      <c r="B406" s="18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6">
        <f>IF($J406="","",IFERROR(INDEX(Cadence!$B$4:$B$13,MATCH($J406,Cadence!$A$4:$A$13,0)),""))</f>
        <v/>
      </c>
      <c r="M406" s="19">
        <f>IF($J406="","",IFERROR(IF($K406="",$B406,$K406)+INDEX(Cadence!$C$4:$C$13,MATCH($J406,Cadence!$A$4:$A$13,0)),""))</f>
        <v/>
      </c>
      <c r="N406" s="20">
        <f>IF($M406="","",IF($M406&lt;TODAY(),"OVERDUE",IF($M406=TODAY(),"DUE TODAY",IF($M406&lt;=TODAY()+7,"THIS WEEK","LATER"))))</f>
        <v/>
      </c>
      <c r="O406" s="17" t="n"/>
      <c r="P406" s="17" t="n"/>
    </row>
    <row r="407">
      <c r="A407" s="17" t="n"/>
      <c r="B407" s="18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8" t="n"/>
      <c r="L407" s="6">
        <f>IF($J407="","",IFERROR(INDEX(Cadence!$B$4:$B$13,MATCH($J407,Cadence!$A$4:$A$13,0)),""))</f>
        <v/>
      </c>
      <c r="M407" s="19">
        <f>IF($J407="","",IFERROR(IF($K407="",$B407,$K407)+INDEX(Cadence!$C$4:$C$13,MATCH($J407,Cadence!$A$4:$A$13,0)),""))</f>
        <v/>
      </c>
      <c r="N407" s="20">
        <f>IF($M407="","",IF($M407&lt;TODAY(),"OVERDUE",IF($M407=TODAY(),"DUE TODAY",IF($M407&lt;=TODAY()+7,"THIS WEEK","LATER"))))</f>
        <v/>
      </c>
      <c r="O407" s="17" t="n"/>
      <c r="P407" s="17" t="n"/>
    </row>
    <row r="408">
      <c r="A408" s="17" t="n"/>
      <c r="B408" s="18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6">
        <f>IF($J408="","",IFERROR(INDEX(Cadence!$B$4:$B$13,MATCH($J408,Cadence!$A$4:$A$13,0)),""))</f>
        <v/>
      </c>
      <c r="M408" s="19">
        <f>IF($J408="","",IFERROR(IF($K408="",$B408,$K408)+INDEX(Cadence!$C$4:$C$13,MATCH($J408,Cadence!$A$4:$A$13,0)),""))</f>
        <v/>
      </c>
      <c r="N408" s="20">
        <f>IF($M408="","",IF($M408&lt;TODAY(),"OVERDUE",IF($M408=TODAY(),"DUE TODAY",IF($M408&lt;=TODAY()+7,"THIS WEEK","LATER"))))</f>
        <v/>
      </c>
      <c r="O408" s="17" t="n"/>
      <c r="P408" s="17" t="n"/>
    </row>
    <row r="409">
      <c r="A409" s="17" t="n"/>
      <c r="B409" s="18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8" t="n"/>
      <c r="L409" s="6">
        <f>IF($J409="","",IFERROR(INDEX(Cadence!$B$4:$B$13,MATCH($J409,Cadence!$A$4:$A$13,0)),""))</f>
        <v/>
      </c>
      <c r="M409" s="19">
        <f>IF($J409="","",IFERROR(IF($K409="",$B409,$K409)+INDEX(Cadence!$C$4:$C$13,MATCH($J409,Cadence!$A$4:$A$13,0)),""))</f>
        <v/>
      </c>
      <c r="N409" s="20">
        <f>IF($M409="","",IF($M409&lt;TODAY(),"OVERDUE",IF($M409=TODAY(),"DUE TODAY",IF($M409&lt;=TODAY()+7,"THIS WEEK","LATER"))))</f>
        <v/>
      </c>
      <c r="O409" s="17" t="n"/>
      <c r="P409" s="17" t="n"/>
    </row>
    <row r="410">
      <c r="A410" s="17" t="n"/>
      <c r="B410" s="18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6">
        <f>IF($J410="","",IFERROR(INDEX(Cadence!$B$4:$B$13,MATCH($J410,Cadence!$A$4:$A$13,0)),""))</f>
        <v/>
      </c>
      <c r="M410" s="19">
        <f>IF($J410="","",IFERROR(IF($K410="",$B410,$K410)+INDEX(Cadence!$C$4:$C$13,MATCH($J410,Cadence!$A$4:$A$13,0)),""))</f>
        <v/>
      </c>
      <c r="N410" s="20">
        <f>IF($M410="","",IF($M410&lt;TODAY(),"OVERDUE",IF($M410=TODAY(),"DUE TODAY",IF($M410&lt;=TODAY()+7,"THIS WEEK","LATER"))))</f>
        <v/>
      </c>
      <c r="O410" s="17" t="n"/>
      <c r="P410" s="17" t="n"/>
    </row>
    <row r="411">
      <c r="A411" s="17" t="n"/>
      <c r="B411" s="18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8" t="n"/>
      <c r="L411" s="6">
        <f>IF($J411="","",IFERROR(INDEX(Cadence!$B$4:$B$13,MATCH($J411,Cadence!$A$4:$A$13,0)),""))</f>
        <v/>
      </c>
      <c r="M411" s="19">
        <f>IF($J411="","",IFERROR(IF($K411="",$B411,$K411)+INDEX(Cadence!$C$4:$C$13,MATCH($J411,Cadence!$A$4:$A$13,0)),""))</f>
        <v/>
      </c>
      <c r="N411" s="20">
        <f>IF($M411="","",IF($M411&lt;TODAY(),"OVERDUE",IF($M411=TODAY(),"DUE TODAY",IF($M411&lt;=TODAY()+7,"THIS WEEK","LATER"))))</f>
        <v/>
      </c>
      <c r="O411" s="17" t="n"/>
      <c r="P411" s="17" t="n"/>
    </row>
    <row r="412">
      <c r="A412" s="17" t="n"/>
      <c r="B412" s="18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6">
        <f>IF($J412="","",IFERROR(INDEX(Cadence!$B$4:$B$13,MATCH($J412,Cadence!$A$4:$A$13,0)),""))</f>
        <v/>
      </c>
      <c r="M412" s="19">
        <f>IF($J412="","",IFERROR(IF($K412="",$B412,$K412)+INDEX(Cadence!$C$4:$C$13,MATCH($J412,Cadence!$A$4:$A$13,0)),""))</f>
        <v/>
      </c>
      <c r="N412" s="20">
        <f>IF($M412="","",IF($M412&lt;TODAY(),"OVERDUE",IF($M412=TODAY(),"DUE TODAY",IF($M412&lt;=TODAY()+7,"THIS WEEK","LATER"))))</f>
        <v/>
      </c>
      <c r="O412" s="17" t="n"/>
      <c r="P412" s="17" t="n"/>
    </row>
    <row r="413">
      <c r="A413" s="17" t="n"/>
      <c r="B413" s="18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8" t="n"/>
      <c r="L413" s="6">
        <f>IF($J413="","",IFERROR(INDEX(Cadence!$B$4:$B$13,MATCH($J413,Cadence!$A$4:$A$13,0)),""))</f>
        <v/>
      </c>
      <c r="M413" s="19">
        <f>IF($J413="","",IFERROR(IF($K413="",$B413,$K413)+INDEX(Cadence!$C$4:$C$13,MATCH($J413,Cadence!$A$4:$A$13,0)),""))</f>
        <v/>
      </c>
      <c r="N413" s="20">
        <f>IF($M413="","",IF($M413&lt;TODAY(),"OVERDUE",IF($M413=TODAY(),"DUE TODAY",IF($M413&lt;=TODAY()+7,"THIS WEEK","LATER"))))</f>
        <v/>
      </c>
      <c r="O413" s="17" t="n"/>
      <c r="P413" s="17" t="n"/>
    </row>
    <row r="414">
      <c r="A414" s="17" t="n"/>
      <c r="B414" s="18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6">
        <f>IF($J414="","",IFERROR(INDEX(Cadence!$B$4:$B$13,MATCH($J414,Cadence!$A$4:$A$13,0)),""))</f>
        <v/>
      </c>
      <c r="M414" s="19">
        <f>IF($J414="","",IFERROR(IF($K414="",$B414,$K414)+INDEX(Cadence!$C$4:$C$13,MATCH($J414,Cadence!$A$4:$A$13,0)),""))</f>
        <v/>
      </c>
      <c r="N414" s="20">
        <f>IF($M414="","",IF($M414&lt;TODAY(),"OVERDUE",IF($M414=TODAY(),"DUE TODAY",IF($M414&lt;=TODAY()+7,"THIS WEEK","LATER"))))</f>
        <v/>
      </c>
      <c r="O414" s="17" t="n"/>
      <c r="P414" s="17" t="n"/>
    </row>
    <row r="415">
      <c r="A415" s="17" t="n"/>
      <c r="B415" s="18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8" t="n"/>
      <c r="L415" s="6">
        <f>IF($J415="","",IFERROR(INDEX(Cadence!$B$4:$B$13,MATCH($J415,Cadence!$A$4:$A$13,0)),""))</f>
        <v/>
      </c>
      <c r="M415" s="19">
        <f>IF($J415="","",IFERROR(IF($K415="",$B415,$K415)+INDEX(Cadence!$C$4:$C$13,MATCH($J415,Cadence!$A$4:$A$13,0)),""))</f>
        <v/>
      </c>
      <c r="N415" s="20">
        <f>IF($M415="","",IF($M415&lt;TODAY(),"OVERDUE",IF($M415=TODAY(),"DUE TODAY",IF($M415&lt;=TODAY()+7,"THIS WEEK","LATER"))))</f>
        <v/>
      </c>
      <c r="O415" s="17" t="n"/>
      <c r="P415" s="17" t="n"/>
    </row>
    <row r="416">
      <c r="A416" s="17" t="n"/>
      <c r="B416" s="18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6">
        <f>IF($J416="","",IFERROR(INDEX(Cadence!$B$4:$B$13,MATCH($J416,Cadence!$A$4:$A$13,0)),""))</f>
        <v/>
      </c>
      <c r="M416" s="19">
        <f>IF($J416="","",IFERROR(IF($K416="",$B416,$K416)+INDEX(Cadence!$C$4:$C$13,MATCH($J416,Cadence!$A$4:$A$13,0)),""))</f>
        <v/>
      </c>
      <c r="N416" s="20">
        <f>IF($M416="","",IF($M416&lt;TODAY(),"OVERDUE",IF($M416=TODAY(),"DUE TODAY",IF($M416&lt;=TODAY()+7,"THIS WEEK","LATER"))))</f>
        <v/>
      </c>
      <c r="O416" s="17" t="n"/>
      <c r="P416" s="17" t="n"/>
    </row>
    <row r="417">
      <c r="A417" s="17" t="n"/>
      <c r="B417" s="18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8" t="n"/>
      <c r="L417" s="6">
        <f>IF($J417="","",IFERROR(INDEX(Cadence!$B$4:$B$13,MATCH($J417,Cadence!$A$4:$A$13,0)),""))</f>
        <v/>
      </c>
      <c r="M417" s="19">
        <f>IF($J417="","",IFERROR(IF($K417="",$B417,$K417)+INDEX(Cadence!$C$4:$C$13,MATCH($J417,Cadence!$A$4:$A$13,0)),""))</f>
        <v/>
      </c>
      <c r="N417" s="20">
        <f>IF($M417="","",IF($M417&lt;TODAY(),"OVERDUE",IF($M417=TODAY(),"DUE TODAY",IF($M417&lt;=TODAY()+7,"THIS WEEK","LATER"))))</f>
        <v/>
      </c>
      <c r="O417" s="17" t="n"/>
      <c r="P417" s="17" t="n"/>
    </row>
    <row r="418">
      <c r="A418" s="17" t="n"/>
      <c r="B418" s="18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6">
        <f>IF($J418="","",IFERROR(INDEX(Cadence!$B$4:$B$13,MATCH($J418,Cadence!$A$4:$A$13,0)),""))</f>
        <v/>
      </c>
      <c r="M418" s="19">
        <f>IF($J418="","",IFERROR(IF($K418="",$B418,$K418)+INDEX(Cadence!$C$4:$C$13,MATCH($J418,Cadence!$A$4:$A$13,0)),""))</f>
        <v/>
      </c>
      <c r="N418" s="20">
        <f>IF($M418="","",IF($M418&lt;TODAY(),"OVERDUE",IF($M418=TODAY(),"DUE TODAY",IF($M418&lt;=TODAY()+7,"THIS WEEK","LATER"))))</f>
        <v/>
      </c>
      <c r="O418" s="17" t="n"/>
      <c r="P418" s="17" t="n"/>
    </row>
    <row r="419">
      <c r="A419" s="17" t="n"/>
      <c r="B419" s="18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8" t="n"/>
      <c r="L419" s="6">
        <f>IF($J419="","",IFERROR(INDEX(Cadence!$B$4:$B$13,MATCH($J419,Cadence!$A$4:$A$13,0)),""))</f>
        <v/>
      </c>
      <c r="M419" s="19">
        <f>IF($J419="","",IFERROR(IF($K419="",$B419,$K419)+INDEX(Cadence!$C$4:$C$13,MATCH($J419,Cadence!$A$4:$A$13,0)),""))</f>
        <v/>
      </c>
      <c r="N419" s="20">
        <f>IF($M419="","",IF($M419&lt;TODAY(),"OVERDUE",IF($M419=TODAY(),"DUE TODAY",IF($M419&lt;=TODAY()+7,"THIS WEEK","LATER"))))</f>
        <v/>
      </c>
      <c r="O419" s="17" t="n"/>
      <c r="P419" s="17" t="n"/>
    </row>
    <row r="420">
      <c r="A420" s="17" t="n"/>
      <c r="B420" s="18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6">
        <f>IF($J420="","",IFERROR(INDEX(Cadence!$B$4:$B$13,MATCH($J420,Cadence!$A$4:$A$13,0)),""))</f>
        <v/>
      </c>
      <c r="M420" s="19">
        <f>IF($J420="","",IFERROR(IF($K420="",$B420,$K420)+INDEX(Cadence!$C$4:$C$13,MATCH($J420,Cadence!$A$4:$A$13,0)),""))</f>
        <v/>
      </c>
      <c r="N420" s="20">
        <f>IF($M420="","",IF($M420&lt;TODAY(),"OVERDUE",IF($M420=TODAY(),"DUE TODAY",IF($M420&lt;=TODAY()+7,"THIS WEEK","LATER"))))</f>
        <v/>
      </c>
      <c r="O420" s="17" t="n"/>
      <c r="P420" s="17" t="n"/>
    </row>
    <row r="421">
      <c r="A421" s="17" t="n"/>
      <c r="B421" s="18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8" t="n"/>
      <c r="L421" s="6">
        <f>IF($J421="","",IFERROR(INDEX(Cadence!$B$4:$B$13,MATCH($J421,Cadence!$A$4:$A$13,0)),""))</f>
        <v/>
      </c>
      <c r="M421" s="19">
        <f>IF($J421="","",IFERROR(IF($K421="",$B421,$K421)+INDEX(Cadence!$C$4:$C$13,MATCH($J421,Cadence!$A$4:$A$13,0)),""))</f>
        <v/>
      </c>
      <c r="N421" s="20">
        <f>IF($M421="","",IF($M421&lt;TODAY(),"OVERDUE",IF($M421=TODAY(),"DUE TODAY",IF($M421&lt;=TODAY()+7,"THIS WEEK","LATER"))))</f>
        <v/>
      </c>
      <c r="O421" s="17" t="n"/>
      <c r="P421" s="17" t="n"/>
    </row>
    <row r="422">
      <c r="A422" s="17" t="n"/>
      <c r="B422" s="18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6">
        <f>IF($J422="","",IFERROR(INDEX(Cadence!$B$4:$B$13,MATCH($J422,Cadence!$A$4:$A$13,0)),""))</f>
        <v/>
      </c>
      <c r="M422" s="19">
        <f>IF($J422="","",IFERROR(IF($K422="",$B422,$K422)+INDEX(Cadence!$C$4:$C$13,MATCH($J422,Cadence!$A$4:$A$13,0)),""))</f>
        <v/>
      </c>
      <c r="N422" s="20">
        <f>IF($M422="","",IF($M422&lt;TODAY(),"OVERDUE",IF($M422=TODAY(),"DUE TODAY",IF($M422&lt;=TODAY()+7,"THIS WEEK","LATER"))))</f>
        <v/>
      </c>
      <c r="O422" s="17" t="n"/>
      <c r="P422" s="17" t="n"/>
    </row>
    <row r="423">
      <c r="A423" s="17" t="n"/>
      <c r="B423" s="18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8" t="n"/>
      <c r="L423" s="6">
        <f>IF($J423="","",IFERROR(INDEX(Cadence!$B$4:$B$13,MATCH($J423,Cadence!$A$4:$A$13,0)),""))</f>
        <v/>
      </c>
      <c r="M423" s="19">
        <f>IF($J423="","",IFERROR(IF($K423="",$B423,$K423)+INDEX(Cadence!$C$4:$C$13,MATCH($J423,Cadence!$A$4:$A$13,0)),""))</f>
        <v/>
      </c>
      <c r="N423" s="20">
        <f>IF($M423="","",IF($M423&lt;TODAY(),"OVERDUE",IF($M423=TODAY(),"DUE TODAY",IF($M423&lt;=TODAY()+7,"THIS WEEK","LATER"))))</f>
        <v/>
      </c>
      <c r="O423" s="17" t="n"/>
      <c r="P423" s="17" t="n"/>
    </row>
    <row r="424">
      <c r="A424" s="17" t="n"/>
      <c r="B424" s="18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6">
        <f>IF($J424="","",IFERROR(INDEX(Cadence!$B$4:$B$13,MATCH($J424,Cadence!$A$4:$A$13,0)),""))</f>
        <v/>
      </c>
      <c r="M424" s="19">
        <f>IF($J424="","",IFERROR(IF($K424="",$B424,$K424)+INDEX(Cadence!$C$4:$C$13,MATCH($J424,Cadence!$A$4:$A$13,0)),""))</f>
        <v/>
      </c>
      <c r="N424" s="20">
        <f>IF($M424="","",IF($M424&lt;TODAY(),"OVERDUE",IF($M424=TODAY(),"DUE TODAY",IF($M424&lt;=TODAY()+7,"THIS WEEK","LATER"))))</f>
        <v/>
      </c>
      <c r="O424" s="17" t="n"/>
      <c r="P424" s="17" t="n"/>
    </row>
    <row r="425">
      <c r="A425" s="17" t="n"/>
      <c r="B425" s="18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8" t="n"/>
      <c r="L425" s="6">
        <f>IF($J425="","",IFERROR(INDEX(Cadence!$B$4:$B$13,MATCH($J425,Cadence!$A$4:$A$13,0)),""))</f>
        <v/>
      </c>
      <c r="M425" s="19">
        <f>IF($J425="","",IFERROR(IF($K425="",$B425,$K425)+INDEX(Cadence!$C$4:$C$13,MATCH($J425,Cadence!$A$4:$A$13,0)),""))</f>
        <v/>
      </c>
      <c r="N425" s="20">
        <f>IF($M425="","",IF($M425&lt;TODAY(),"OVERDUE",IF($M425=TODAY(),"DUE TODAY",IF($M425&lt;=TODAY()+7,"THIS WEEK","LATER"))))</f>
        <v/>
      </c>
      <c r="O425" s="17" t="n"/>
      <c r="P425" s="17" t="n"/>
    </row>
    <row r="426">
      <c r="A426" s="17" t="n"/>
      <c r="B426" s="18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6">
        <f>IF($J426="","",IFERROR(INDEX(Cadence!$B$4:$B$13,MATCH($J426,Cadence!$A$4:$A$13,0)),""))</f>
        <v/>
      </c>
      <c r="M426" s="19">
        <f>IF($J426="","",IFERROR(IF($K426="",$B426,$K426)+INDEX(Cadence!$C$4:$C$13,MATCH($J426,Cadence!$A$4:$A$13,0)),""))</f>
        <v/>
      </c>
      <c r="N426" s="20">
        <f>IF($M426="","",IF($M426&lt;TODAY(),"OVERDUE",IF($M426=TODAY(),"DUE TODAY",IF($M426&lt;=TODAY()+7,"THIS WEEK","LATER"))))</f>
        <v/>
      </c>
      <c r="O426" s="17" t="n"/>
      <c r="P426" s="17" t="n"/>
    </row>
    <row r="427">
      <c r="A427" s="17" t="n"/>
      <c r="B427" s="18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8" t="n"/>
      <c r="L427" s="6">
        <f>IF($J427="","",IFERROR(INDEX(Cadence!$B$4:$B$13,MATCH($J427,Cadence!$A$4:$A$13,0)),""))</f>
        <v/>
      </c>
      <c r="M427" s="19">
        <f>IF($J427="","",IFERROR(IF($K427="",$B427,$K427)+INDEX(Cadence!$C$4:$C$13,MATCH($J427,Cadence!$A$4:$A$13,0)),""))</f>
        <v/>
      </c>
      <c r="N427" s="20">
        <f>IF($M427="","",IF($M427&lt;TODAY(),"OVERDUE",IF($M427=TODAY(),"DUE TODAY",IF($M427&lt;=TODAY()+7,"THIS WEEK","LATER"))))</f>
        <v/>
      </c>
      <c r="O427" s="17" t="n"/>
      <c r="P427" s="17" t="n"/>
    </row>
    <row r="428">
      <c r="A428" s="17" t="n"/>
      <c r="B428" s="18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6">
        <f>IF($J428="","",IFERROR(INDEX(Cadence!$B$4:$B$13,MATCH($J428,Cadence!$A$4:$A$13,0)),""))</f>
        <v/>
      </c>
      <c r="M428" s="19">
        <f>IF($J428="","",IFERROR(IF($K428="",$B428,$K428)+INDEX(Cadence!$C$4:$C$13,MATCH($J428,Cadence!$A$4:$A$13,0)),""))</f>
        <v/>
      </c>
      <c r="N428" s="20">
        <f>IF($M428="","",IF($M428&lt;TODAY(),"OVERDUE",IF($M428=TODAY(),"DUE TODAY",IF($M428&lt;=TODAY()+7,"THIS WEEK","LATER"))))</f>
        <v/>
      </c>
      <c r="O428" s="17" t="n"/>
      <c r="P428" s="17" t="n"/>
    </row>
    <row r="429">
      <c r="A429" s="17" t="n"/>
      <c r="B429" s="18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8" t="n"/>
      <c r="L429" s="6">
        <f>IF($J429="","",IFERROR(INDEX(Cadence!$B$4:$B$13,MATCH($J429,Cadence!$A$4:$A$13,0)),""))</f>
        <v/>
      </c>
      <c r="M429" s="19">
        <f>IF($J429="","",IFERROR(IF($K429="",$B429,$K429)+INDEX(Cadence!$C$4:$C$13,MATCH($J429,Cadence!$A$4:$A$13,0)),""))</f>
        <v/>
      </c>
      <c r="N429" s="20">
        <f>IF($M429="","",IF($M429&lt;TODAY(),"OVERDUE",IF($M429=TODAY(),"DUE TODAY",IF($M429&lt;=TODAY()+7,"THIS WEEK","LATER"))))</f>
        <v/>
      </c>
      <c r="O429" s="17" t="n"/>
      <c r="P429" s="17" t="n"/>
    </row>
    <row r="430">
      <c r="A430" s="17" t="n"/>
      <c r="B430" s="18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6">
        <f>IF($J430="","",IFERROR(INDEX(Cadence!$B$4:$B$13,MATCH($J430,Cadence!$A$4:$A$13,0)),""))</f>
        <v/>
      </c>
      <c r="M430" s="19">
        <f>IF($J430="","",IFERROR(IF($K430="",$B430,$K430)+INDEX(Cadence!$C$4:$C$13,MATCH($J430,Cadence!$A$4:$A$13,0)),""))</f>
        <v/>
      </c>
      <c r="N430" s="20">
        <f>IF($M430="","",IF($M430&lt;TODAY(),"OVERDUE",IF($M430=TODAY(),"DUE TODAY",IF($M430&lt;=TODAY()+7,"THIS WEEK","LATER"))))</f>
        <v/>
      </c>
      <c r="O430" s="17" t="n"/>
      <c r="P430" s="17" t="n"/>
    </row>
    <row r="431">
      <c r="A431" s="17" t="n"/>
      <c r="B431" s="18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8" t="n"/>
      <c r="L431" s="6">
        <f>IF($J431="","",IFERROR(INDEX(Cadence!$B$4:$B$13,MATCH($J431,Cadence!$A$4:$A$13,0)),""))</f>
        <v/>
      </c>
      <c r="M431" s="19">
        <f>IF($J431="","",IFERROR(IF($K431="",$B431,$K431)+INDEX(Cadence!$C$4:$C$13,MATCH($J431,Cadence!$A$4:$A$13,0)),""))</f>
        <v/>
      </c>
      <c r="N431" s="20">
        <f>IF($M431="","",IF($M431&lt;TODAY(),"OVERDUE",IF($M431=TODAY(),"DUE TODAY",IF($M431&lt;=TODAY()+7,"THIS WEEK","LATER"))))</f>
        <v/>
      </c>
      <c r="O431" s="17" t="n"/>
      <c r="P431" s="17" t="n"/>
    </row>
    <row r="432">
      <c r="A432" s="17" t="n"/>
      <c r="B432" s="18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6">
        <f>IF($J432="","",IFERROR(INDEX(Cadence!$B$4:$B$13,MATCH($J432,Cadence!$A$4:$A$13,0)),""))</f>
        <v/>
      </c>
      <c r="M432" s="19">
        <f>IF($J432="","",IFERROR(IF($K432="",$B432,$K432)+INDEX(Cadence!$C$4:$C$13,MATCH($J432,Cadence!$A$4:$A$13,0)),""))</f>
        <v/>
      </c>
      <c r="N432" s="20">
        <f>IF($M432="","",IF($M432&lt;TODAY(),"OVERDUE",IF($M432=TODAY(),"DUE TODAY",IF($M432&lt;=TODAY()+7,"THIS WEEK","LATER"))))</f>
        <v/>
      </c>
      <c r="O432" s="17" t="n"/>
      <c r="P432" s="17" t="n"/>
    </row>
    <row r="433">
      <c r="A433" s="17" t="n"/>
      <c r="B433" s="18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8" t="n"/>
      <c r="L433" s="6">
        <f>IF($J433="","",IFERROR(INDEX(Cadence!$B$4:$B$13,MATCH($J433,Cadence!$A$4:$A$13,0)),""))</f>
        <v/>
      </c>
      <c r="M433" s="19">
        <f>IF($J433="","",IFERROR(IF($K433="",$B433,$K433)+INDEX(Cadence!$C$4:$C$13,MATCH($J433,Cadence!$A$4:$A$13,0)),""))</f>
        <v/>
      </c>
      <c r="N433" s="20">
        <f>IF($M433="","",IF($M433&lt;TODAY(),"OVERDUE",IF($M433=TODAY(),"DUE TODAY",IF($M433&lt;=TODAY()+7,"THIS WEEK","LATER"))))</f>
        <v/>
      </c>
      <c r="O433" s="17" t="n"/>
      <c r="P433" s="17" t="n"/>
    </row>
    <row r="434">
      <c r="A434" s="17" t="n"/>
      <c r="B434" s="18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6">
        <f>IF($J434="","",IFERROR(INDEX(Cadence!$B$4:$B$13,MATCH($J434,Cadence!$A$4:$A$13,0)),""))</f>
        <v/>
      </c>
      <c r="M434" s="19">
        <f>IF($J434="","",IFERROR(IF($K434="",$B434,$K434)+INDEX(Cadence!$C$4:$C$13,MATCH($J434,Cadence!$A$4:$A$13,0)),""))</f>
        <v/>
      </c>
      <c r="N434" s="20">
        <f>IF($M434="","",IF($M434&lt;TODAY(),"OVERDUE",IF($M434=TODAY(),"DUE TODAY",IF($M434&lt;=TODAY()+7,"THIS WEEK","LATER"))))</f>
        <v/>
      </c>
      <c r="O434" s="17" t="n"/>
      <c r="P434" s="17" t="n"/>
    </row>
    <row r="435">
      <c r="A435" s="17" t="n"/>
      <c r="B435" s="18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8" t="n"/>
      <c r="L435" s="6">
        <f>IF($J435="","",IFERROR(INDEX(Cadence!$B$4:$B$13,MATCH($J435,Cadence!$A$4:$A$13,0)),""))</f>
        <v/>
      </c>
      <c r="M435" s="19">
        <f>IF($J435="","",IFERROR(IF($K435="",$B435,$K435)+INDEX(Cadence!$C$4:$C$13,MATCH($J435,Cadence!$A$4:$A$13,0)),""))</f>
        <v/>
      </c>
      <c r="N435" s="20">
        <f>IF($M435="","",IF($M435&lt;TODAY(),"OVERDUE",IF($M435=TODAY(),"DUE TODAY",IF($M435&lt;=TODAY()+7,"THIS WEEK","LATER"))))</f>
        <v/>
      </c>
      <c r="O435" s="17" t="n"/>
      <c r="P435" s="17" t="n"/>
    </row>
    <row r="436">
      <c r="A436" s="17" t="n"/>
      <c r="B436" s="18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6">
        <f>IF($J436="","",IFERROR(INDEX(Cadence!$B$4:$B$13,MATCH($J436,Cadence!$A$4:$A$13,0)),""))</f>
        <v/>
      </c>
      <c r="M436" s="19">
        <f>IF($J436="","",IFERROR(IF($K436="",$B436,$K436)+INDEX(Cadence!$C$4:$C$13,MATCH($J436,Cadence!$A$4:$A$13,0)),""))</f>
        <v/>
      </c>
      <c r="N436" s="20">
        <f>IF($M436="","",IF($M436&lt;TODAY(),"OVERDUE",IF($M436=TODAY(),"DUE TODAY",IF($M436&lt;=TODAY()+7,"THIS WEEK","LATER"))))</f>
        <v/>
      </c>
      <c r="O436" s="17" t="n"/>
      <c r="P436" s="17" t="n"/>
    </row>
    <row r="437">
      <c r="A437" s="17" t="n"/>
      <c r="B437" s="18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8" t="n"/>
      <c r="L437" s="6">
        <f>IF($J437="","",IFERROR(INDEX(Cadence!$B$4:$B$13,MATCH($J437,Cadence!$A$4:$A$13,0)),""))</f>
        <v/>
      </c>
      <c r="M437" s="19">
        <f>IF($J437="","",IFERROR(IF($K437="",$B437,$K437)+INDEX(Cadence!$C$4:$C$13,MATCH($J437,Cadence!$A$4:$A$13,0)),""))</f>
        <v/>
      </c>
      <c r="N437" s="20">
        <f>IF($M437="","",IF($M437&lt;TODAY(),"OVERDUE",IF($M437=TODAY(),"DUE TODAY",IF($M437&lt;=TODAY()+7,"THIS WEEK","LATER"))))</f>
        <v/>
      </c>
      <c r="O437" s="17" t="n"/>
      <c r="P437" s="17" t="n"/>
    </row>
    <row r="438">
      <c r="A438" s="17" t="n"/>
      <c r="B438" s="18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6">
        <f>IF($J438="","",IFERROR(INDEX(Cadence!$B$4:$B$13,MATCH($J438,Cadence!$A$4:$A$13,0)),""))</f>
        <v/>
      </c>
      <c r="M438" s="19">
        <f>IF($J438="","",IFERROR(IF($K438="",$B438,$K438)+INDEX(Cadence!$C$4:$C$13,MATCH($J438,Cadence!$A$4:$A$13,0)),""))</f>
        <v/>
      </c>
      <c r="N438" s="20">
        <f>IF($M438="","",IF($M438&lt;TODAY(),"OVERDUE",IF($M438=TODAY(),"DUE TODAY",IF($M438&lt;=TODAY()+7,"THIS WEEK","LATER"))))</f>
        <v/>
      </c>
      <c r="O438" s="17" t="n"/>
      <c r="P438" s="17" t="n"/>
    </row>
    <row r="439">
      <c r="A439" s="17" t="n"/>
      <c r="B439" s="18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8" t="n"/>
      <c r="L439" s="6">
        <f>IF($J439="","",IFERROR(INDEX(Cadence!$B$4:$B$13,MATCH($J439,Cadence!$A$4:$A$13,0)),""))</f>
        <v/>
      </c>
      <c r="M439" s="19">
        <f>IF($J439="","",IFERROR(IF($K439="",$B439,$K439)+INDEX(Cadence!$C$4:$C$13,MATCH($J439,Cadence!$A$4:$A$13,0)),""))</f>
        <v/>
      </c>
      <c r="N439" s="20">
        <f>IF($M439="","",IF($M439&lt;TODAY(),"OVERDUE",IF($M439=TODAY(),"DUE TODAY",IF($M439&lt;=TODAY()+7,"THIS WEEK","LATER"))))</f>
        <v/>
      </c>
      <c r="O439" s="17" t="n"/>
      <c r="P439" s="17" t="n"/>
    </row>
    <row r="440">
      <c r="A440" s="17" t="n"/>
      <c r="B440" s="18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6">
        <f>IF($J440="","",IFERROR(INDEX(Cadence!$B$4:$B$13,MATCH($J440,Cadence!$A$4:$A$13,0)),""))</f>
        <v/>
      </c>
      <c r="M440" s="19">
        <f>IF($J440="","",IFERROR(IF($K440="",$B440,$K440)+INDEX(Cadence!$C$4:$C$13,MATCH($J440,Cadence!$A$4:$A$13,0)),""))</f>
        <v/>
      </c>
      <c r="N440" s="20">
        <f>IF($M440="","",IF($M440&lt;TODAY(),"OVERDUE",IF($M440=TODAY(),"DUE TODAY",IF($M440&lt;=TODAY()+7,"THIS WEEK","LATER"))))</f>
        <v/>
      </c>
      <c r="O440" s="17" t="n"/>
      <c r="P440" s="17" t="n"/>
    </row>
    <row r="441">
      <c r="A441" s="17" t="n"/>
      <c r="B441" s="18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8" t="n"/>
      <c r="L441" s="6">
        <f>IF($J441="","",IFERROR(INDEX(Cadence!$B$4:$B$13,MATCH($J441,Cadence!$A$4:$A$13,0)),""))</f>
        <v/>
      </c>
      <c r="M441" s="19">
        <f>IF($J441="","",IFERROR(IF($K441="",$B441,$K441)+INDEX(Cadence!$C$4:$C$13,MATCH($J441,Cadence!$A$4:$A$13,0)),""))</f>
        <v/>
      </c>
      <c r="N441" s="20">
        <f>IF($M441="","",IF($M441&lt;TODAY(),"OVERDUE",IF($M441=TODAY(),"DUE TODAY",IF($M441&lt;=TODAY()+7,"THIS WEEK","LATER"))))</f>
        <v/>
      </c>
      <c r="O441" s="17" t="n"/>
      <c r="P441" s="17" t="n"/>
    </row>
    <row r="442">
      <c r="A442" s="17" t="n"/>
      <c r="B442" s="18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6">
        <f>IF($J442="","",IFERROR(INDEX(Cadence!$B$4:$B$13,MATCH($J442,Cadence!$A$4:$A$13,0)),""))</f>
        <v/>
      </c>
      <c r="M442" s="19">
        <f>IF($J442="","",IFERROR(IF($K442="",$B442,$K442)+INDEX(Cadence!$C$4:$C$13,MATCH($J442,Cadence!$A$4:$A$13,0)),""))</f>
        <v/>
      </c>
      <c r="N442" s="20">
        <f>IF($M442="","",IF($M442&lt;TODAY(),"OVERDUE",IF($M442=TODAY(),"DUE TODAY",IF($M442&lt;=TODAY()+7,"THIS WEEK","LATER"))))</f>
        <v/>
      </c>
      <c r="O442" s="17" t="n"/>
      <c r="P442" s="17" t="n"/>
    </row>
    <row r="443">
      <c r="A443" s="17" t="n"/>
      <c r="B443" s="18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8" t="n"/>
      <c r="L443" s="6">
        <f>IF($J443="","",IFERROR(INDEX(Cadence!$B$4:$B$13,MATCH($J443,Cadence!$A$4:$A$13,0)),""))</f>
        <v/>
      </c>
      <c r="M443" s="19">
        <f>IF($J443="","",IFERROR(IF($K443="",$B443,$K443)+INDEX(Cadence!$C$4:$C$13,MATCH($J443,Cadence!$A$4:$A$13,0)),""))</f>
        <v/>
      </c>
      <c r="N443" s="20">
        <f>IF($M443="","",IF($M443&lt;TODAY(),"OVERDUE",IF($M443=TODAY(),"DUE TODAY",IF($M443&lt;=TODAY()+7,"THIS WEEK","LATER"))))</f>
        <v/>
      </c>
      <c r="O443" s="17" t="n"/>
      <c r="P443" s="17" t="n"/>
    </row>
    <row r="444">
      <c r="A444" s="17" t="n"/>
      <c r="B444" s="18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6">
        <f>IF($J444="","",IFERROR(INDEX(Cadence!$B$4:$B$13,MATCH($J444,Cadence!$A$4:$A$13,0)),""))</f>
        <v/>
      </c>
      <c r="M444" s="19">
        <f>IF($J444="","",IFERROR(IF($K444="",$B444,$K444)+INDEX(Cadence!$C$4:$C$13,MATCH($J444,Cadence!$A$4:$A$13,0)),""))</f>
        <v/>
      </c>
      <c r="N444" s="20">
        <f>IF($M444="","",IF($M444&lt;TODAY(),"OVERDUE",IF($M444=TODAY(),"DUE TODAY",IF($M444&lt;=TODAY()+7,"THIS WEEK","LATER"))))</f>
        <v/>
      </c>
      <c r="O444" s="17" t="n"/>
      <c r="P444" s="17" t="n"/>
    </row>
    <row r="445">
      <c r="A445" s="17" t="n"/>
      <c r="B445" s="18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8" t="n"/>
      <c r="L445" s="6">
        <f>IF($J445="","",IFERROR(INDEX(Cadence!$B$4:$B$13,MATCH($J445,Cadence!$A$4:$A$13,0)),""))</f>
        <v/>
      </c>
      <c r="M445" s="19">
        <f>IF($J445="","",IFERROR(IF($K445="",$B445,$K445)+INDEX(Cadence!$C$4:$C$13,MATCH($J445,Cadence!$A$4:$A$13,0)),""))</f>
        <v/>
      </c>
      <c r="N445" s="20">
        <f>IF($M445="","",IF($M445&lt;TODAY(),"OVERDUE",IF($M445=TODAY(),"DUE TODAY",IF($M445&lt;=TODAY()+7,"THIS WEEK","LATER"))))</f>
        <v/>
      </c>
      <c r="O445" s="17" t="n"/>
      <c r="P445" s="17" t="n"/>
    </row>
    <row r="446">
      <c r="A446" s="17" t="n"/>
      <c r="B446" s="18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6">
        <f>IF($J446="","",IFERROR(INDEX(Cadence!$B$4:$B$13,MATCH($J446,Cadence!$A$4:$A$13,0)),""))</f>
        <v/>
      </c>
      <c r="M446" s="19">
        <f>IF($J446="","",IFERROR(IF($K446="",$B446,$K446)+INDEX(Cadence!$C$4:$C$13,MATCH($J446,Cadence!$A$4:$A$13,0)),""))</f>
        <v/>
      </c>
      <c r="N446" s="20">
        <f>IF($M446="","",IF($M446&lt;TODAY(),"OVERDUE",IF($M446=TODAY(),"DUE TODAY",IF($M446&lt;=TODAY()+7,"THIS WEEK","LATER"))))</f>
        <v/>
      </c>
      <c r="O446" s="17" t="n"/>
      <c r="P446" s="17" t="n"/>
    </row>
    <row r="447">
      <c r="A447" s="17" t="n"/>
      <c r="B447" s="18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8" t="n"/>
      <c r="L447" s="6">
        <f>IF($J447="","",IFERROR(INDEX(Cadence!$B$4:$B$13,MATCH($J447,Cadence!$A$4:$A$13,0)),""))</f>
        <v/>
      </c>
      <c r="M447" s="19">
        <f>IF($J447="","",IFERROR(IF($K447="",$B447,$K447)+INDEX(Cadence!$C$4:$C$13,MATCH($J447,Cadence!$A$4:$A$13,0)),""))</f>
        <v/>
      </c>
      <c r="N447" s="20">
        <f>IF($M447="","",IF($M447&lt;TODAY(),"OVERDUE",IF($M447=TODAY(),"DUE TODAY",IF($M447&lt;=TODAY()+7,"THIS WEEK","LATER"))))</f>
        <v/>
      </c>
      <c r="O447" s="17" t="n"/>
      <c r="P447" s="17" t="n"/>
    </row>
    <row r="448">
      <c r="A448" s="17" t="n"/>
      <c r="B448" s="18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6">
        <f>IF($J448="","",IFERROR(INDEX(Cadence!$B$4:$B$13,MATCH($J448,Cadence!$A$4:$A$13,0)),""))</f>
        <v/>
      </c>
      <c r="M448" s="19">
        <f>IF($J448="","",IFERROR(IF($K448="",$B448,$K448)+INDEX(Cadence!$C$4:$C$13,MATCH($J448,Cadence!$A$4:$A$13,0)),""))</f>
        <v/>
      </c>
      <c r="N448" s="20">
        <f>IF($M448="","",IF($M448&lt;TODAY(),"OVERDUE",IF($M448=TODAY(),"DUE TODAY",IF($M448&lt;=TODAY()+7,"THIS WEEK","LATER"))))</f>
        <v/>
      </c>
      <c r="O448" s="17" t="n"/>
      <c r="P448" s="17" t="n"/>
    </row>
    <row r="449">
      <c r="A449" s="17" t="n"/>
      <c r="B449" s="18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8" t="n"/>
      <c r="L449" s="6">
        <f>IF($J449="","",IFERROR(INDEX(Cadence!$B$4:$B$13,MATCH($J449,Cadence!$A$4:$A$13,0)),""))</f>
        <v/>
      </c>
      <c r="M449" s="19">
        <f>IF($J449="","",IFERROR(IF($K449="",$B449,$K449)+INDEX(Cadence!$C$4:$C$13,MATCH($J449,Cadence!$A$4:$A$13,0)),""))</f>
        <v/>
      </c>
      <c r="N449" s="20">
        <f>IF($M449="","",IF($M449&lt;TODAY(),"OVERDUE",IF($M449=TODAY(),"DUE TODAY",IF($M449&lt;=TODAY()+7,"THIS WEEK","LATER"))))</f>
        <v/>
      </c>
      <c r="O449" s="17" t="n"/>
      <c r="P449" s="17" t="n"/>
    </row>
    <row r="450">
      <c r="A450" s="17" t="n"/>
      <c r="B450" s="18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6">
        <f>IF($J450="","",IFERROR(INDEX(Cadence!$B$4:$B$13,MATCH($J450,Cadence!$A$4:$A$13,0)),""))</f>
        <v/>
      </c>
      <c r="M450" s="19">
        <f>IF($J450="","",IFERROR(IF($K450="",$B450,$K450)+INDEX(Cadence!$C$4:$C$13,MATCH($J450,Cadence!$A$4:$A$13,0)),""))</f>
        <v/>
      </c>
      <c r="N450" s="20">
        <f>IF($M450="","",IF($M450&lt;TODAY(),"OVERDUE",IF($M450=TODAY(),"DUE TODAY",IF($M450&lt;=TODAY()+7,"THIS WEEK","LATER"))))</f>
        <v/>
      </c>
      <c r="O450" s="17" t="n"/>
      <c r="P450" s="17" t="n"/>
    </row>
    <row r="451">
      <c r="A451" s="17" t="n"/>
      <c r="B451" s="18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8" t="n"/>
      <c r="L451" s="6">
        <f>IF($J451="","",IFERROR(INDEX(Cadence!$B$4:$B$13,MATCH($J451,Cadence!$A$4:$A$13,0)),""))</f>
        <v/>
      </c>
      <c r="M451" s="19">
        <f>IF($J451="","",IFERROR(IF($K451="",$B451,$K451)+INDEX(Cadence!$C$4:$C$13,MATCH($J451,Cadence!$A$4:$A$13,0)),""))</f>
        <v/>
      </c>
      <c r="N451" s="20">
        <f>IF($M451="","",IF($M451&lt;TODAY(),"OVERDUE",IF($M451=TODAY(),"DUE TODAY",IF($M451&lt;=TODAY()+7,"THIS WEEK","LATER"))))</f>
        <v/>
      </c>
      <c r="O451" s="17" t="n"/>
      <c r="P451" s="17" t="n"/>
    </row>
    <row r="452">
      <c r="A452" s="17" t="n"/>
      <c r="B452" s="18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6">
        <f>IF($J452="","",IFERROR(INDEX(Cadence!$B$4:$B$13,MATCH($J452,Cadence!$A$4:$A$13,0)),""))</f>
        <v/>
      </c>
      <c r="M452" s="19">
        <f>IF($J452="","",IFERROR(IF($K452="",$B452,$K452)+INDEX(Cadence!$C$4:$C$13,MATCH($J452,Cadence!$A$4:$A$13,0)),""))</f>
        <v/>
      </c>
      <c r="N452" s="20">
        <f>IF($M452="","",IF($M452&lt;TODAY(),"OVERDUE",IF($M452=TODAY(),"DUE TODAY",IF($M452&lt;=TODAY()+7,"THIS WEEK","LATER"))))</f>
        <v/>
      </c>
      <c r="O452" s="17" t="n"/>
      <c r="P452" s="17" t="n"/>
    </row>
    <row r="453">
      <c r="A453" s="17" t="n"/>
      <c r="B453" s="18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8" t="n"/>
      <c r="L453" s="6">
        <f>IF($J453="","",IFERROR(INDEX(Cadence!$B$4:$B$13,MATCH($J453,Cadence!$A$4:$A$13,0)),""))</f>
        <v/>
      </c>
      <c r="M453" s="19">
        <f>IF($J453="","",IFERROR(IF($K453="",$B453,$K453)+INDEX(Cadence!$C$4:$C$13,MATCH($J453,Cadence!$A$4:$A$13,0)),""))</f>
        <v/>
      </c>
      <c r="N453" s="20">
        <f>IF($M453="","",IF($M453&lt;TODAY(),"OVERDUE",IF($M453=TODAY(),"DUE TODAY",IF($M453&lt;=TODAY()+7,"THIS WEEK","LATER"))))</f>
        <v/>
      </c>
      <c r="O453" s="17" t="n"/>
      <c r="P453" s="17" t="n"/>
    </row>
    <row r="454">
      <c r="A454" s="17" t="n"/>
      <c r="B454" s="18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6">
        <f>IF($J454="","",IFERROR(INDEX(Cadence!$B$4:$B$13,MATCH($J454,Cadence!$A$4:$A$13,0)),""))</f>
        <v/>
      </c>
      <c r="M454" s="19">
        <f>IF($J454="","",IFERROR(IF($K454="",$B454,$K454)+INDEX(Cadence!$C$4:$C$13,MATCH($J454,Cadence!$A$4:$A$13,0)),""))</f>
        <v/>
      </c>
      <c r="N454" s="20">
        <f>IF($M454="","",IF($M454&lt;TODAY(),"OVERDUE",IF($M454=TODAY(),"DUE TODAY",IF($M454&lt;=TODAY()+7,"THIS WEEK","LATER"))))</f>
        <v/>
      </c>
      <c r="O454" s="17" t="n"/>
      <c r="P454" s="17" t="n"/>
    </row>
    <row r="455">
      <c r="A455" s="17" t="n"/>
      <c r="B455" s="18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8" t="n"/>
      <c r="L455" s="6">
        <f>IF($J455="","",IFERROR(INDEX(Cadence!$B$4:$B$13,MATCH($J455,Cadence!$A$4:$A$13,0)),""))</f>
        <v/>
      </c>
      <c r="M455" s="19">
        <f>IF($J455="","",IFERROR(IF($K455="",$B455,$K455)+INDEX(Cadence!$C$4:$C$13,MATCH($J455,Cadence!$A$4:$A$13,0)),""))</f>
        <v/>
      </c>
      <c r="N455" s="20">
        <f>IF($M455="","",IF($M455&lt;TODAY(),"OVERDUE",IF($M455=TODAY(),"DUE TODAY",IF($M455&lt;=TODAY()+7,"THIS WEEK","LATER"))))</f>
        <v/>
      </c>
      <c r="O455" s="17" t="n"/>
      <c r="P455" s="17" t="n"/>
    </row>
    <row r="456">
      <c r="A456" s="17" t="n"/>
      <c r="B456" s="18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6">
        <f>IF($J456="","",IFERROR(INDEX(Cadence!$B$4:$B$13,MATCH($J456,Cadence!$A$4:$A$13,0)),""))</f>
        <v/>
      </c>
      <c r="M456" s="19">
        <f>IF($J456="","",IFERROR(IF($K456="",$B456,$K456)+INDEX(Cadence!$C$4:$C$13,MATCH($J456,Cadence!$A$4:$A$13,0)),""))</f>
        <v/>
      </c>
      <c r="N456" s="20">
        <f>IF($M456="","",IF($M456&lt;TODAY(),"OVERDUE",IF($M456=TODAY(),"DUE TODAY",IF($M456&lt;=TODAY()+7,"THIS WEEK","LATER"))))</f>
        <v/>
      </c>
      <c r="O456" s="17" t="n"/>
      <c r="P456" s="17" t="n"/>
    </row>
    <row r="457">
      <c r="A457" s="17" t="n"/>
      <c r="B457" s="18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8" t="n"/>
      <c r="L457" s="6">
        <f>IF($J457="","",IFERROR(INDEX(Cadence!$B$4:$B$13,MATCH($J457,Cadence!$A$4:$A$13,0)),""))</f>
        <v/>
      </c>
      <c r="M457" s="19">
        <f>IF($J457="","",IFERROR(IF($K457="",$B457,$K457)+INDEX(Cadence!$C$4:$C$13,MATCH($J457,Cadence!$A$4:$A$13,0)),""))</f>
        <v/>
      </c>
      <c r="N457" s="20">
        <f>IF($M457="","",IF($M457&lt;TODAY(),"OVERDUE",IF($M457=TODAY(),"DUE TODAY",IF($M457&lt;=TODAY()+7,"THIS WEEK","LATER"))))</f>
        <v/>
      </c>
      <c r="O457" s="17" t="n"/>
      <c r="P457" s="17" t="n"/>
    </row>
    <row r="458">
      <c r="A458" s="17" t="n"/>
      <c r="B458" s="18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6">
        <f>IF($J458="","",IFERROR(INDEX(Cadence!$B$4:$B$13,MATCH($J458,Cadence!$A$4:$A$13,0)),""))</f>
        <v/>
      </c>
      <c r="M458" s="19">
        <f>IF($J458="","",IFERROR(IF($K458="",$B458,$K458)+INDEX(Cadence!$C$4:$C$13,MATCH($J458,Cadence!$A$4:$A$13,0)),""))</f>
        <v/>
      </c>
      <c r="N458" s="20">
        <f>IF($M458="","",IF($M458&lt;TODAY(),"OVERDUE",IF($M458=TODAY(),"DUE TODAY",IF($M458&lt;=TODAY()+7,"THIS WEEK","LATER"))))</f>
        <v/>
      </c>
      <c r="O458" s="17" t="n"/>
      <c r="P458" s="17" t="n"/>
    </row>
    <row r="459">
      <c r="A459" s="17" t="n"/>
      <c r="B459" s="18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8" t="n"/>
      <c r="L459" s="6">
        <f>IF($J459="","",IFERROR(INDEX(Cadence!$B$4:$B$13,MATCH($J459,Cadence!$A$4:$A$13,0)),""))</f>
        <v/>
      </c>
      <c r="M459" s="19">
        <f>IF($J459="","",IFERROR(IF($K459="",$B459,$K459)+INDEX(Cadence!$C$4:$C$13,MATCH($J459,Cadence!$A$4:$A$13,0)),""))</f>
        <v/>
      </c>
      <c r="N459" s="20">
        <f>IF($M459="","",IF($M459&lt;TODAY(),"OVERDUE",IF($M459=TODAY(),"DUE TODAY",IF($M459&lt;=TODAY()+7,"THIS WEEK","LATER"))))</f>
        <v/>
      </c>
      <c r="O459" s="17" t="n"/>
      <c r="P459" s="17" t="n"/>
    </row>
    <row r="460">
      <c r="A460" s="17" t="n"/>
      <c r="B460" s="18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6">
        <f>IF($J460="","",IFERROR(INDEX(Cadence!$B$4:$B$13,MATCH($J460,Cadence!$A$4:$A$13,0)),""))</f>
        <v/>
      </c>
      <c r="M460" s="19">
        <f>IF($J460="","",IFERROR(IF($K460="",$B460,$K460)+INDEX(Cadence!$C$4:$C$13,MATCH($J460,Cadence!$A$4:$A$13,0)),""))</f>
        <v/>
      </c>
      <c r="N460" s="20">
        <f>IF($M460="","",IF($M460&lt;TODAY(),"OVERDUE",IF($M460=TODAY(),"DUE TODAY",IF($M460&lt;=TODAY()+7,"THIS WEEK","LATER"))))</f>
        <v/>
      </c>
      <c r="O460" s="17" t="n"/>
      <c r="P460" s="17" t="n"/>
    </row>
    <row r="461">
      <c r="A461" s="17" t="n"/>
      <c r="B461" s="18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8" t="n"/>
      <c r="L461" s="6">
        <f>IF($J461="","",IFERROR(INDEX(Cadence!$B$4:$B$13,MATCH($J461,Cadence!$A$4:$A$13,0)),""))</f>
        <v/>
      </c>
      <c r="M461" s="19">
        <f>IF($J461="","",IFERROR(IF($K461="",$B461,$K461)+INDEX(Cadence!$C$4:$C$13,MATCH($J461,Cadence!$A$4:$A$13,0)),""))</f>
        <v/>
      </c>
      <c r="N461" s="20">
        <f>IF($M461="","",IF($M461&lt;TODAY(),"OVERDUE",IF($M461=TODAY(),"DUE TODAY",IF($M461&lt;=TODAY()+7,"THIS WEEK","LATER"))))</f>
        <v/>
      </c>
      <c r="O461" s="17" t="n"/>
      <c r="P461" s="17" t="n"/>
    </row>
    <row r="462">
      <c r="A462" s="17" t="n"/>
      <c r="B462" s="18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6">
        <f>IF($J462="","",IFERROR(INDEX(Cadence!$B$4:$B$13,MATCH($J462,Cadence!$A$4:$A$13,0)),""))</f>
        <v/>
      </c>
      <c r="M462" s="19">
        <f>IF($J462="","",IFERROR(IF($K462="",$B462,$K462)+INDEX(Cadence!$C$4:$C$13,MATCH($J462,Cadence!$A$4:$A$13,0)),""))</f>
        <v/>
      </c>
      <c r="N462" s="20">
        <f>IF($M462="","",IF($M462&lt;TODAY(),"OVERDUE",IF($M462=TODAY(),"DUE TODAY",IF($M462&lt;=TODAY()+7,"THIS WEEK","LATER"))))</f>
        <v/>
      </c>
      <c r="O462" s="17" t="n"/>
      <c r="P462" s="17" t="n"/>
    </row>
    <row r="463">
      <c r="A463" s="17" t="n"/>
      <c r="B463" s="18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8" t="n"/>
      <c r="L463" s="6">
        <f>IF($J463="","",IFERROR(INDEX(Cadence!$B$4:$B$13,MATCH($J463,Cadence!$A$4:$A$13,0)),""))</f>
        <v/>
      </c>
      <c r="M463" s="19">
        <f>IF($J463="","",IFERROR(IF($K463="",$B463,$K463)+INDEX(Cadence!$C$4:$C$13,MATCH($J463,Cadence!$A$4:$A$13,0)),""))</f>
        <v/>
      </c>
      <c r="N463" s="20">
        <f>IF($M463="","",IF($M463&lt;TODAY(),"OVERDUE",IF($M463=TODAY(),"DUE TODAY",IF($M463&lt;=TODAY()+7,"THIS WEEK","LATER"))))</f>
        <v/>
      </c>
      <c r="O463" s="17" t="n"/>
      <c r="P463" s="17" t="n"/>
    </row>
    <row r="464">
      <c r="A464" s="17" t="n"/>
      <c r="B464" s="18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6">
        <f>IF($J464="","",IFERROR(INDEX(Cadence!$B$4:$B$13,MATCH($J464,Cadence!$A$4:$A$13,0)),""))</f>
        <v/>
      </c>
      <c r="M464" s="19">
        <f>IF($J464="","",IFERROR(IF($K464="",$B464,$K464)+INDEX(Cadence!$C$4:$C$13,MATCH($J464,Cadence!$A$4:$A$13,0)),""))</f>
        <v/>
      </c>
      <c r="N464" s="20">
        <f>IF($M464="","",IF($M464&lt;TODAY(),"OVERDUE",IF($M464=TODAY(),"DUE TODAY",IF($M464&lt;=TODAY()+7,"THIS WEEK","LATER"))))</f>
        <v/>
      </c>
      <c r="O464" s="17" t="n"/>
      <c r="P464" s="17" t="n"/>
    </row>
    <row r="465">
      <c r="A465" s="17" t="n"/>
      <c r="B465" s="18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8" t="n"/>
      <c r="L465" s="6">
        <f>IF($J465="","",IFERROR(INDEX(Cadence!$B$4:$B$13,MATCH($J465,Cadence!$A$4:$A$13,0)),""))</f>
        <v/>
      </c>
      <c r="M465" s="19">
        <f>IF($J465="","",IFERROR(IF($K465="",$B465,$K465)+INDEX(Cadence!$C$4:$C$13,MATCH($J465,Cadence!$A$4:$A$13,0)),""))</f>
        <v/>
      </c>
      <c r="N465" s="20">
        <f>IF($M465="","",IF($M465&lt;TODAY(),"OVERDUE",IF($M465=TODAY(),"DUE TODAY",IF($M465&lt;=TODAY()+7,"THIS WEEK","LATER"))))</f>
        <v/>
      </c>
      <c r="O465" s="17" t="n"/>
      <c r="P465" s="17" t="n"/>
    </row>
    <row r="466">
      <c r="A466" s="17" t="n"/>
      <c r="B466" s="18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6">
        <f>IF($J466="","",IFERROR(INDEX(Cadence!$B$4:$B$13,MATCH($J466,Cadence!$A$4:$A$13,0)),""))</f>
        <v/>
      </c>
      <c r="M466" s="19">
        <f>IF($J466="","",IFERROR(IF($K466="",$B466,$K466)+INDEX(Cadence!$C$4:$C$13,MATCH($J466,Cadence!$A$4:$A$13,0)),""))</f>
        <v/>
      </c>
      <c r="N466" s="20">
        <f>IF($M466="","",IF($M466&lt;TODAY(),"OVERDUE",IF($M466=TODAY(),"DUE TODAY",IF($M466&lt;=TODAY()+7,"THIS WEEK","LATER"))))</f>
        <v/>
      </c>
      <c r="O466" s="17" t="n"/>
      <c r="P466" s="17" t="n"/>
    </row>
    <row r="467">
      <c r="A467" s="17" t="n"/>
      <c r="B467" s="18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8" t="n"/>
      <c r="L467" s="6">
        <f>IF($J467="","",IFERROR(INDEX(Cadence!$B$4:$B$13,MATCH($J467,Cadence!$A$4:$A$13,0)),""))</f>
        <v/>
      </c>
      <c r="M467" s="19">
        <f>IF($J467="","",IFERROR(IF($K467="",$B467,$K467)+INDEX(Cadence!$C$4:$C$13,MATCH($J467,Cadence!$A$4:$A$13,0)),""))</f>
        <v/>
      </c>
      <c r="N467" s="20">
        <f>IF($M467="","",IF($M467&lt;TODAY(),"OVERDUE",IF($M467=TODAY(),"DUE TODAY",IF($M467&lt;=TODAY()+7,"THIS WEEK","LATER"))))</f>
        <v/>
      </c>
      <c r="O467" s="17" t="n"/>
      <c r="P467" s="17" t="n"/>
    </row>
    <row r="468">
      <c r="A468" s="17" t="n"/>
      <c r="B468" s="18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6">
        <f>IF($J468="","",IFERROR(INDEX(Cadence!$B$4:$B$13,MATCH($J468,Cadence!$A$4:$A$13,0)),""))</f>
        <v/>
      </c>
      <c r="M468" s="19">
        <f>IF($J468="","",IFERROR(IF($K468="",$B468,$K468)+INDEX(Cadence!$C$4:$C$13,MATCH($J468,Cadence!$A$4:$A$13,0)),""))</f>
        <v/>
      </c>
      <c r="N468" s="20">
        <f>IF($M468="","",IF($M468&lt;TODAY(),"OVERDUE",IF($M468=TODAY(),"DUE TODAY",IF($M468&lt;=TODAY()+7,"THIS WEEK","LATER"))))</f>
        <v/>
      </c>
      <c r="O468" s="17" t="n"/>
      <c r="P468" s="17" t="n"/>
    </row>
    <row r="469">
      <c r="A469" s="17" t="n"/>
      <c r="B469" s="18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8" t="n"/>
      <c r="L469" s="6">
        <f>IF($J469="","",IFERROR(INDEX(Cadence!$B$4:$B$13,MATCH($J469,Cadence!$A$4:$A$13,0)),""))</f>
        <v/>
      </c>
      <c r="M469" s="19">
        <f>IF($J469="","",IFERROR(IF($K469="",$B469,$K469)+INDEX(Cadence!$C$4:$C$13,MATCH($J469,Cadence!$A$4:$A$13,0)),""))</f>
        <v/>
      </c>
      <c r="N469" s="20">
        <f>IF($M469="","",IF($M469&lt;TODAY(),"OVERDUE",IF($M469=TODAY(),"DUE TODAY",IF($M469&lt;=TODAY()+7,"THIS WEEK","LATER"))))</f>
        <v/>
      </c>
      <c r="O469" s="17" t="n"/>
      <c r="P469" s="17" t="n"/>
    </row>
    <row r="470">
      <c r="A470" s="17" t="n"/>
      <c r="B470" s="18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6">
        <f>IF($J470="","",IFERROR(INDEX(Cadence!$B$4:$B$13,MATCH($J470,Cadence!$A$4:$A$13,0)),""))</f>
        <v/>
      </c>
      <c r="M470" s="19">
        <f>IF($J470="","",IFERROR(IF($K470="",$B470,$K470)+INDEX(Cadence!$C$4:$C$13,MATCH($J470,Cadence!$A$4:$A$13,0)),""))</f>
        <v/>
      </c>
      <c r="N470" s="20">
        <f>IF($M470="","",IF($M470&lt;TODAY(),"OVERDUE",IF($M470=TODAY(),"DUE TODAY",IF($M470&lt;=TODAY()+7,"THIS WEEK","LATER"))))</f>
        <v/>
      </c>
      <c r="O470" s="17" t="n"/>
      <c r="P470" s="17" t="n"/>
    </row>
    <row r="471">
      <c r="A471" s="17" t="n"/>
      <c r="B471" s="18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8" t="n"/>
      <c r="L471" s="6">
        <f>IF($J471="","",IFERROR(INDEX(Cadence!$B$4:$B$13,MATCH($J471,Cadence!$A$4:$A$13,0)),""))</f>
        <v/>
      </c>
      <c r="M471" s="19">
        <f>IF($J471="","",IFERROR(IF($K471="",$B471,$K471)+INDEX(Cadence!$C$4:$C$13,MATCH($J471,Cadence!$A$4:$A$13,0)),""))</f>
        <v/>
      </c>
      <c r="N471" s="20">
        <f>IF($M471="","",IF($M471&lt;TODAY(),"OVERDUE",IF($M471=TODAY(),"DUE TODAY",IF($M471&lt;=TODAY()+7,"THIS WEEK","LATER"))))</f>
        <v/>
      </c>
      <c r="O471" s="17" t="n"/>
      <c r="P471" s="17" t="n"/>
    </row>
    <row r="472">
      <c r="A472" s="17" t="n"/>
      <c r="B472" s="18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6">
        <f>IF($J472="","",IFERROR(INDEX(Cadence!$B$4:$B$13,MATCH($J472,Cadence!$A$4:$A$13,0)),""))</f>
        <v/>
      </c>
      <c r="M472" s="19">
        <f>IF($J472="","",IFERROR(IF($K472="",$B472,$K472)+INDEX(Cadence!$C$4:$C$13,MATCH($J472,Cadence!$A$4:$A$13,0)),""))</f>
        <v/>
      </c>
      <c r="N472" s="20">
        <f>IF($M472="","",IF($M472&lt;TODAY(),"OVERDUE",IF($M472=TODAY(),"DUE TODAY",IF($M472&lt;=TODAY()+7,"THIS WEEK","LATER"))))</f>
        <v/>
      </c>
      <c r="O472" s="17" t="n"/>
      <c r="P472" s="17" t="n"/>
    </row>
    <row r="473">
      <c r="A473" s="17" t="n"/>
      <c r="B473" s="18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8" t="n"/>
      <c r="L473" s="6">
        <f>IF($J473="","",IFERROR(INDEX(Cadence!$B$4:$B$13,MATCH($J473,Cadence!$A$4:$A$13,0)),""))</f>
        <v/>
      </c>
      <c r="M473" s="19">
        <f>IF($J473="","",IFERROR(IF($K473="",$B473,$K473)+INDEX(Cadence!$C$4:$C$13,MATCH($J473,Cadence!$A$4:$A$13,0)),""))</f>
        <v/>
      </c>
      <c r="N473" s="20">
        <f>IF($M473="","",IF($M473&lt;TODAY(),"OVERDUE",IF($M473=TODAY(),"DUE TODAY",IF($M473&lt;=TODAY()+7,"THIS WEEK","LATER"))))</f>
        <v/>
      </c>
      <c r="O473" s="17" t="n"/>
      <c r="P473" s="17" t="n"/>
    </row>
    <row r="474">
      <c r="A474" s="17" t="n"/>
      <c r="B474" s="18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6">
        <f>IF($J474="","",IFERROR(INDEX(Cadence!$B$4:$B$13,MATCH($J474,Cadence!$A$4:$A$13,0)),""))</f>
        <v/>
      </c>
      <c r="M474" s="19">
        <f>IF($J474="","",IFERROR(IF($K474="",$B474,$K474)+INDEX(Cadence!$C$4:$C$13,MATCH($J474,Cadence!$A$4:$A$13,0)),""))</f>
        <v/>
      </c>
      <c r="N474" s="20">
        <f>IF($M474="","",IF($M474&lt;TODAY(),"OVERDUE",IF($M474=TODAY(),"DUE TODAY",IF($M474&lt;=TODAY()+7,"THIS WEEK","LATER"))))</f>
        <v/>
      </c>
      <c r="O474" s="17" t="n"/>
      <c r="P474" s="17" t="n"/>
    </row>
    <row r="475">
      <c r="A475" s="17" t="n"/>
      <c r="B475" s="18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8" t="n"/>
      <c r="L475" s="6">
        <f>IF($J475="","",IFERROR(INDEX(Cadence!$B$4:$B$13,MATCH($J475,Cadence!$A$4:$A$13,0)),""))</f>
        <v/>
      </c>
      <c r="M475" s="19">
        <f>IF($J475="","",IFERROR(IF($K475="",$B475,$K475)+INDEX(Cadence!$C$4:$C$13,MATCH($J475,Cadence!$A$4:$A$13,0)),""))</f>
        <v/>
      </c>
      <c r="N475" s="20">
        <f>IF($M475="","",IF($M475&lt;TODAY(),"OVERDUE",IF($M475=TODAY(),"DUE TODAY",IF($M475&lt;=TODAY()+7,"THIS WEEK","LATER"))))</f>
        <v/>
      </c>
      <c r="O475" s="17" t="n"/>
      <c r="P475" s="17" t="n"/>
    </row>
    <row r="476">
      <c r="A476" s="17" t="n"/>
      <c r="B476" s="18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6">
        <f>IF($J476="","",IFERROR(INDEX(Cadence!$B$4:$B$13,MATCH($J476,Cadence!$A$4:$A$13,0)),""))</f>
        <v/>
      </c>
      <c r="M476" s="19">
        <f>IF($J476="","",IFERROR(IF($K476="",$B476,$K476)+INDEX(Cadence!$C$4:$C$13,MATCH($J476,Cadence!$A$4:$A$13,0)),""))</f>
        <v/>
      </c>
      <c r="N476" s="20">
        <f>IF($M476="","",IF($M476&lt;TODAY(),"OVERDUE",IF($M476=TODAY(),"DUE TODAY",IF($M476&lt;=TODAY()+7,"THIS WEEK","LATER"))))</f>
        <v/>
      </c>
      <c r="O476" s="17" t="n"/>
      <c r="P476" s="17" t="n"/>
    </row>
    <row r="477">
      <c r="A477" s="17" t="n"/>
      <c r="B477" s="18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8" t="n"/>
      <c r="L477" s="6">
        <f>IF($J477="","",IFERROR(INDEX(Cadence!$B$4:$B$13,MATCH($J477,Cadence!$A$4:$A$13,0)),""))</f>
        <v/>
      </c>
      <c r="M477" s="19">
        <f>IF($J477="","",IFERROR(IF($K477="",$B477,$K477)+INDEX(Cadence!$C$4:$C$13,MATCH($J477,Cadence!$A$4:$A$13,0)),""))</f>
        <v/>
      </c>
      <c r="N477" s="20">
        <f>IF($M477="","",IF($M477&lt;TODAY(),"OVERDUE",IF($M477=TODAY(),"DUE TODAY",IF($M477&lt;=TODAY()+7,"THIS WEEK","LATER"))))</f>
        <v/>
      </c>
      <c r="O477" s="17" t="n"/>
      <c r="P477" s="17" t="n"/>
    </row>
    <row r="478">
      <c r="A478" s="17" t="n"/>
      <c r="B478" s="18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6">
        <f>IF($J478="","",IFERROR(INDEX(Cadence!$B$4:$B$13,MATCH($J478,Cadence!$A$4:$A$13,0)),""))</f>
        <v/>
      </c>
      <c r="M478" s="19">
        <f>IF($J478="","",IFERROR(IF($K478="",$B478,$K478)+INDEX(Cadence!$C$4:$C$13,MATCH($J478,Cadence!$A$4:$A$13,0)),""))</f>
        <v/>
      </c>
      <c r="N478" s="20">
        <f>IF($M478="","",IF($M478&lt;TODAY(),"OVERDUE",IF($M478=TODAY(),"DUE TODAY",IF($M478&lt;=TODAY()+7,"THIS WEEK","LATER"))))</f>
        <v/>
      </c>
      <c r="O478" s="17" t="n"/>
      <c r="P478" s="17" t="n"/>
    </row>
    <row r="479">
      <c r="A479" s="17" t="n"/>
      <c r="B479" s="18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8" t="n"/>
      <c r="L479" s="6">
        <f>IF($J479="","",IFERROR(INDEX(Cadence!$B$4:$B$13,MATCH($J479,Cadence!$A$4:$A$13,0)),""))</f>
        <v/>
      </c>
      <c r="M479" s="19">
        <f>IF($J479="","",IFERROR(IF($K479="",$B479,$K479)+INDEX(Cadence!$C$4:$C$13,MATCH($J479,Cadence!$A$4:$A$13,0)),""))</f>
        <v/>
      </c>
      <c r="N479" s="20">
        <f>IF($M479="","",IF($M479&lt;TODAY(),"OVERDUE",IF($M479=TODAY(),"DUE TODAY",IF($M479&lt;=TODAY()+7,"THIS WEEK","LATER"))))</f>
        <v/>
      </c>
      <c r="O479" s="17" t="n"/>
      <c r="P479" s="17" t="n"/>
    </row>
    <row r="480">
      <c r="A480" s="17" t="n"/>
      <c r="B480" s="18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6">
        <f>IF($J480="","",IFERROR(INDEX(Cadence!$B$4:$B$13,MATCH($J480,Cadence!$A$4:$A$13,0)),""))</f>
        <v/>
      </c>
      <c r="M480" s="19">
        <f>IF($J480="","",IFERROR(IF($K480="",$B480,$K480)+INDEX(Cadence!$C$4:$C$13,MATCH($J480,Cadence!$A$4:$A$13,0)),""))</f>
        <v/>
      </c>
      <c r="N480" s="20">
        <f>IF($M480="","",IF($M480&lt;TODAY(),"OVERDUE",IF($M480=TODAY(),"DUE TODAY",IF($M480&lt;=TODAY()+7,"THIS WEEK","LATER"))))</f>
        <v/>
      </c>
      <c r="O480" s="17" t="n"/>
      <c r="P480" s="17" t="n"/>
    </row>
    <row r="481">
      <c r="A481" s="17" t="n"/>
      <c r="B481" s="18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8" t="n"/>
      <c r="L481" s="6">
        <f>IF($J481="","",IFERROR(INDEX(Cadence!$B$4:$B$13,MATCH($J481,Cadence!$A$4:$A$13,0)),""))</f>
        <v/>
      </c>
      <c r="M481" s="19">
        <f>IF($J481="","",IFERROR(IF($K481="",$B481,$K481)+INDEX(Cadence!$C$4:$C$13,MATCH($J481,Cadence!$A$4:$A$13,0)),""))</f>
        <v/>
      </c>
      <c r="N481" s="20">
        <f>IF($M481="","",IF($M481&lt;TODAY(),"OVERDUE",IF($M481=TODAY(),"DUE TODAY",IF($M481&lt;=TODAY()+7,"THIS WEEK","LATER"))))</f>
        <v/>
      </c>
      <c r="O481" s="17" t="n"/>
      <c r="P481" s="17" t="n"/>
    </row>
    <row r="482">
      <c r="A482" s="17" t="n"/>
      <c r="B482" s="18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6">
        <f>IF($J482="","",IFERROR(INDEX(Cadence!$B$4:$B$13,MATCH($J482,Cadence!$A$4:$A$13,0)),""))</f>
        <v/>
      </c>
      <c r="M482" s="19">
        <f>IF($J482="","",IFERROR(IF($K482="",$B482,$K482)+INDEX(Cadence!$C$4:$C$13,MATCH($J482,Cadence!$A$4:$A$13,0)),""))</f>
        <v/>
      </c>
      <c r="N482" s="20">
        <f>IF($M482="","",IF($M482&lt;TODAY(),"OVERDUE",IF($M482=TODAY(),"DUE TODAY",IF($M482&lt;=TODAY()+7,"THIS WEEK","LATER"))))</f>
        <v/>
      </c>
      <c r="O482" s="17" t="n"/>
      <c r="P482" s="17" t="n"/>
    </row>
    <row r="483">
      <c r="A483" s="17" t="n"/>
      <c r="B483" s="18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8" t="n"/>
      <c r="L483" s="6">
        <f>IF($J483="","",IFERROR(INDEX(Cadence!$B$4:$B$13,MATCH($J483,Cadence!$A$4:$A$13,0)),""))</f>
        <v/>
      </c>
      <c r="M483" s="19">
        <f>IF($J483="","",IFERROR(IF($K483="",$B483,$K483)+INDEX(Cadence!$C$4:$C$13,MATCH($J483,Cadence!$A$4:$A$13,0)),""))</f>
        <v/>
      </c>
      <c r="N483" s="20">
        <f>IF($M483="","",IF($M483&lt;TODAY(),"OVERDUE",IF($M483=TODAY(),"DUE TODAY",IF($M483&lt;=TODAY()+7,"THIS WEEK","LATER"))))</f>
        <v/>
      </c>
      <c r="O483" s="17" t="n"/>
      <c r="P483" s="17" t="n"/>
    </row>
    <row r="484">
      <c r="A484" s="17" t="n"/>
      <c r="B484" s="18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6">
        <f>IF($J484="","",IFERROR(INDEX(Cadence!$B$4:$B$13,MATCH($J484,Cadence!$A$4:$A$13,0)),""))</f>
        <v/>
      </c>
      <c r="M484" s="19">
        <f>IF($J484="","",IFERROR(IF($K484="",$B484,$K484)+INDEX(Cadence!$C$4:$C$13,MATCH($J484,Cadence!$A$4:$A$13,0)),""))</f>
        <v/>
      </c>
      <c r="N484" s="20">
        <f>IF($M484="","",IF($M484&lt;TODAY(),"OVERDUE",IF($M484=TODAY(),"DUE TODAY",IF($M484&lt;=TODAY()+7,"THIS WEEK","LATER"))))</f>
        <v/>
      </c>
      <c r="O484" s="17" t="n"/>
      <c r="P484" s="17" t="n"/>
    </row>
    <row r="485">
      <c r="A485" s="17" t="n"/>
      <c r="B485" s="18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8" t="n"/>
      <c r="L485" s="6">
        <f>IF($J485="","",IFERROR(INDEX(Cadence!$B$4:$B$13,MATCH($J485,Cadence!$A$4:$A$13,0)),""))</f>
        <v/>
      </c>
      <c r="M485" s="19">
        <f>IF($J485="","",IFERROR(IF($K485="",$B485,$K485)+INDEX(Cadence!$C$4:$C$13,MATCH($J485,Cadence!$A$4:$A$13,0)),""))</f>
        <v/>
      </c>
      <c r="N485" s="20">
        <f>IF($M485="","",IF($M485&lt;TODAY(),"OVERDUE",IF($M485=TODAY(),"DUE TODAY",IF($M485&lt;=TODAY()+7,"THIS WEEK","LATER"))))</f>
        <v/>
      </c>
      <c r="O485" s="17" t="n"/>
      <c r="P485" s="17" t="n"/>
    </row>
    <row r="486">
      <c r="A486" s="17" t="n"/>
      <c r="B486" s="18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6">
        <f>IF($J486="","",IFERROR(INDEX(Cadence!$B$4:$B$13,MATCH($J486,Cadence!$A$4:$A$13,0)),""))</f>
        <v/>
      </c>
      <c r="M486" s="19">
        <f>IF($J486="","",IFERROR(IF($K486="",$B486,$K486)+INDEX(Cadence!$C$4:$C$13,MATCH($J486,Cadence!$A$4:$A$13,0)),""))</f>
        <v/>
      </c>
      <c r="N486" s="20">
        <f>IF($M486="","",IF($M486&lt;TODAY(),"OVERDUE",IF($M486=TODAY(),"DUE TODAY",IF($M486&lt;=TODAY()+7,"THIS WEEK","LATER"))))</f>
        <v/>
      </c>
      <c r="O486" s="17" t="n"/>
      <c r="P486" s="17" t="n"/>
    </row>
    <row r="487">
      <c r="A487" s="17" t="n"/>
      <c r="B487" s="18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8" t="n"/>
      <c r="L487" s="6">
        <f>IF($J487="","",IFERROR(INDEX(Cadence!$B$4:$B$13,MATCH($J487,Cadence!$A$4:$A$13,0)),""))</f>
        <v/>
      </c>
      <c r="M487" s="19">
        <f>IF($J487="","",IFERROR(IF($K487="",$B487,$K487)+INDEX(Cadence!$C$4:$C$13,MATCH($J487,Cadence!$A$4:$A$13,0)),""))</f>
        <v/>
      </c>
      <c r="N487" s="20">
        <f>IF($M487="","",IF($M487&lt;TODAY(),"OVERDUE",IF($M487=TODAY(),"DUE TODAY",IF($M487&lt;=TODAY()+7,"THIS WEEK","LATER"))))</f>
        <v/>
      </c>
      <c r="O487" s="17" t="n"/>
      <c r="P487" s="17" t="n"/>
    </row>
    <row r="488">
      <c r="A488" s="17" t="n"/>
      <c r="B488" s="18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6">
        <f>IF($J488="","",IFERROR(INDEX(Cadence!$B$4:$B$13,MATCH($J488,Cadence!$A$4:$A$13,0)),""))</f>
        <v/>
      </c>
      <c r="M488" s="19">
        <f>IF($J488="","",IFERROR(IF($K488="",$B488,$K488)+INDEX(Cadence!$C$4:$C$13,MATCH($J488,Cadence!$A$4:$A$13,0)),""))</f>
        <v/>
      </c>
      <c r="N488" s="20">
        <f>IF($M488="","",IF($M488&lt;TODAY(),"OVERDUE",IF($M488=TODAY(),"DUE TODAY",IF($M488&lt;=TODAY()+7,"THIS WEEK","LATER"))))</f>
        <v/>
      </c>
      <c r="O488" s="17" t="n"/>
      <c r="P488" s="17" t="n"/>
    </row>
    <row r="489">
      <c r="A489" s="17" t="n"/>
      <c r="B489" s="18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8" t="n"/>
      <c r="L489" s="6">
        <f>IF($J489="","",IFERROR(INDEX(Cadence!$B$4:$B$13,MATCH($J489,Cadence!$A$4:$A$13,0)),""))</f>
        <v/>
      </c>
      <c r="M489" s="19">
        <f>IF($J489="","",IFERROR(IF($K489="",$B489,$K489)+INDEX(Cadence!$C$4:$C$13,MATCH($J489,Cadence!$A$4:$A$13,0)),""))</f>
        <v/>
      </c>
      <c r="N489" s="20">
        <f>IF($M489="","",IF($M489&lt;TODAY(),"OVERDUE",IF($M489=TODAY(),"DUE TODAY",IF($M489&lt;=TODAY()+7,"THIS WEEK","LATER"))))</f>
        <v/>
      </c>
      <c r="O489" s="17" t="n"/>
      <c r="P489" s="17" t="n"/>
    </row>
    <row r="490">
      <c r="A490" s="17" t="n"/>
      <c r="B490" s="18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6">
        <f>IF($J490="","",IFERROR(INDEX(Cadence!$B$4:$B$13,MATCH($J490,Cadence!$A$4:$A$13,0)),""))</f>
        <v/>
      </c>
      <c r="M490" s="19">
        <f>IF($J490="","",IFERROR(IF($K490="",$B490,$K490)+INDEX(Cadence!$C$4:$C$13,MATCH($J490,Cadence!$A$4:$A$13,0)),""))</f>
        <v/>
      </c>
      <c r="N490" s="20">
        <f>IF($M490="","",IF($M490&lt;TODAY(),"OVERDUE",IF($M490=TODAY(),"DUE TODAY",IF($M490&lt;=TODAY()+7,"THIS WEEK","LATER"))))</f>
        <v/>
      </c>
      <c r="O490" s="17" t="n"/>
      <c r="P490" s="17" t="n"/>
    </row>
    <row r="491">
      <c r="A491" s="17" t="n"/>
      <c r="B491" s="18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8" t="n"/>
      <c r="L491" s="6">
        <f>IF($J491="","",IFERROR(INDEX(Cadence!$B$4:$B$13,MATCH($J491,Cadence!$A$4:$A$13,0)),""))</f>
        <v/>
      </c>
      <c r="M491" s="19">
        <f>IF($J491="","",IFERROR(IF($K491="",$B491,$K491)+INDEX(Cadence!$C$4:$C$13,MATCH($J491,Cadence!$A$4:$A$13,0)),""))</f>
        <v/>
      </c>
      <c r="N491" s="20">
        <f>IF($M491="","",IF($M491&lt;TODAY(),"OVERDUE",IF($M491=TODAY(),"DUE TODAY",IF($M491&lt;=TODAY()+7,"THIS WEEK","LATER"))))</f>
        <v/>
      </c>
      <c r="O491" s="17" t="n"/>
      <c r="P491" s="17" t="n"/>
    </row>
    <row r="492">
      <c r="A492" s="17" t="n"/>
      <c r="B492" s="18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6">
        <f>IF($J492="","",IFERROR(INDEX(Cadence!$B$4:$B$13,MATCH($J492,Cadence!$A$4:$A$13,0)),""))</f>
        <v/>
      </c>
      <c r="M492" s="19">
        <f>IF($J492="","",IFERROR(IF($K492="",$B492,$K492)+INDEX(Cadence!$C$4:$C$13,MATCH($J492,Cadence!$A$4:$A$13,0)),""))</f>
        <v/>
      </c>
      <c r="N492" s="20">
        <f>IF($M492="","",IF($M492&lt;TODAY(),"OVERDUE",IF($M492=TODAY(),"DUE TODAY",IF($M492&lt;=TODAY()+7,"THIS WEEK","LATER"))))</f>
        <v/>
      </c>
      <c r="O492" s="17" t="n"/>
      <c r="P492" s="17" t="n"/>
    </row>
    <row r="493">
      <c r="A493" s="17" t="n"/>
      <c r="B493" s="18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8" t="n"/>
      <c r="L493" s="6">
        <f>IF($J493="","",IFERROR(INDEX(Cadence!$B$4:$B$13,MATCH($J493,Cadence!$A$4:$A$13,0)),""))</f>
        <v/>
      </c>
      <c r="M493" s="19">
        <f>IF($J493="","",IFERROR(IF($K493="",$B493,$K493)+INDEX(Cadence!$C$4:$C$13,MATCH($J493,Cadence!$A$4:$A$13,0)),""))</f>
        <v/>
      </c>
      <c r="N493" s="20">
        <f>IF($M493="","",IF($M493&lt;TODAY(),"OVERDUE",IF($M493=TODAY(),"DUE TODAY",IF($M493&lt;=TODAY()+7,"THIS WEEK","LATER"))))</f>
        <v/>
      </c>
      <c r="O493" s="17" t="n"/>
      <c r="P493" s="17" t="n"/>
    </row>
    <row r="494">
      <c r="A494" s="17" t="n"/>
      <c r="B494" s="18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6">
        <f>IF($J494="","",IFERROR(INDEX(Cadence!$B$4:$B$13,MATCH($J494,Cadence!$A$4:$A$13,0)),""))</f>
        <v/>
      </c>
      <c r="M494" s="19">
        <f>IF($J494="","",IFERROR(IF($K494="",$B494,$K494)+INDEX(Cadence!$C$4:$C$13,MATCH($J494,Cadence!$A$4:$A$13,0)),""))</f>
        <v/>
      </c>
      <c r="N494" s="20">
        <f>IF($M494="","",IF($M494&lt;TODAY(),"OVERDUE",IF($M494=TODAY(),"DUE TODAY",IF($M494&lt;=TODAY()+7,"THIS WEEK","LATER"))))</f>
        <v/>
      </c>
      <c r="O494" s="17" t="n"/>
      <c r="P494" s="17" t="n"/>
    </row>
    <row r="495">
      <c r="A495" s="17" t="n"/>
      <c r="B495" s="18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8" t="n"/>
      <c r="L495" s="6">
        <f>IF($J495="","",IFERROR(INDEX(Cadence!$B$4:$B$13,MATCH($J495,Cadence!$A$4:$A$13,0)),""))</f>
        <v/>
      </c>
      <c r="M495" s="19">
        <f>IF($J495="","",IFERROR(IF($K495="",$B495,$K495)+INDEX(Cadence!$C$4:$C$13,MATCH($J495,Cadence!$A$4:$A$13,0)),""))</f>
        <v/>
      </c>
      <c r="N495" s="20">
        <f>IF($M495="","",IF($M495&lt;TODAY(),"OVERDUE",IF($M495=TODAY(),"DUE TODAY",IF($M495&lt;=TODAY()+7,"THIS WEEK","LATER"))))</f>
        <v/>
      </c>
      <c r="O495" s="17" t="n"/>
      <c r="P495" s="17" t="n"/>
    </row>
    <row r="496">
      <c r="A496" s="17" t="n"/>
      <c r="B496" s="18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6">
        <f>IF($J496="","",IFERROR(INDEX(Cadence!$B$4:$B$13,MATCH($J496,Cadence!$A$4:$A$13,0)),""))</f>
        <v/>
      </c>
      <c r="M496" s="19">
        <f>IF($J496="","",IFERROR(IF($K496="",$B496,$K496)+INDEX(Cadence!$C$4:$C$13,MATCH($J496,Cadence!$A$4:$A$13,0)),""))</f>
        <v/>
      </c>
      <c r="N496" s="20">
        <f>IF($M496="","",IF($M496&lt;TODAY(),"OVERDUE",IF($M496=TODAY(),"DUE TODAY",IF($M496&lt;=TODAY()+7,"THIS WEEK","LATER"))))</f>
        <v/>
      </c>
      <c r="O496" s="17" t="n"/>
      <c r="P496" s="17" t="n"/>
    </row>
    <row r="497">
      <c r="A497" s="17" t="n"/>
      <c r="B497" s="18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8" t="n"/>
      <c r="L497" s="6">
        <f>IF($J497="","",IFERROR(INDEX(Cadence!$B$4:$B$13,MATCH($J497,Cadence!$A$4:$A$13,0)),""))</f>
        <v/>
      </c>
      <c r="M497" s="19">
        <f>IF($J497="","",IFERROR(IF($K497="",$B497,$K497)+INDEX(Cadence!$C$4:$C$13,MATCH($J497,Cadence!$A$4:$A$13,0)),""))</f>
        <v/>
      </c>
      <c r="N497" s="20">
        <f>IF($M497="","",IF($M497&lt;TODAY(),"OVERDUE",IF($M497=TODAY(),"DUE TODAY",IF($M497&lt;=TODAY()+7,"THIS WEEK","LATER"))))</f>
        <v/>
      </c>
      <c r="O497" s="17" t="n"/>
      <c r="P497" s="17" t="n"/>
    </row>
    <row r="498">
      <c r="A498" s="17" t="n"/>
      <c r="B498" s="18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6">
        <f>IF($J498="","",IFERROR(INDEX(Cadence!$B$4:$B$13,MATCH($J498,Cadence!$A$4:$A$13,0)),""))</f>
        <v/>
      </c>
      <c r="M498" s="19">
        <f>IF($J498="","",IFERROR(IF($K498="",$B498,$K498)+INDEX(Cadence!$C$4:$C$13,MATCH($J498,Cadence!$A$4:$A$13,0)),""))</f>
        <v/>
      </c>
      <c r="N498" s="20">
        <f>IF($M498="","",IF($M498&lt;TODAY(),"OVERDUE",IF($M498=TODAY(),"DUE TODAY",IF($M498&lt;=TODAY()+7,"THIS WEEK","LATER"))))</f>
        <v/>
      </c>
      <c r="O498" s="17" t="n"/>
      <c r="P498" s="17" t="n"/>
    </row>
    <row r="499">
      <c r="A499" s="17" t="n"/>
      <c r="B499" s="18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8" t="n"/>
      <c r="L499" s="6">
        <f>IF($J499="","",IFERROR(INDEX(Cadence!$B$4:$B$13,MATCH($J499,Cadence!$A$4:$A$13,0)),""))</f>
        <v/>
      </c>
      <c r="M499" s="19">
        <f>IF($J499="","",IFERROR(IF($K499="",$B499,$K499)+INDEX(Cadence!$C$4:$C$13,MATCH($J499,Cadence!$A$4:$A$13,0)),""))</f>
        <v/>
      </c>
      <c r="N499" s="20">
        <f>IF($M499="","",IF($M499&lt;TODAY(),"OVERDUE",IF($M499=TODAY(),"DUE TODAY",IF($M499&lt;=TODAY()+7,"THIS WEEK","LATER"))))</f>
        <v/>
      </c>
      <c r="O499" s="17" t="n"/>
      <c r="P499" s="17" t="n"/>
    </row>
    <row r="500">
      <c r="A500" s="17" t="n"/>
      <c r="B500" s="18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6">
        <f>IF($J500="","",IFERROR(INDEX(Cadence!$B$4:$B$13,MATCH($J500,Cadence!$A$4:$A$13,0)),""))</f>
        <v/>
      </c>
      <c r="M500" s="19">
        <f>IF($J500="","",IFERROR(IF($K500="",$B500,$K500)+INDEX(Cadence!$C$4:$C$13,MATCH($J500,Cadence!$A$4:$A$13,0)),""))</f>
        <v/>
      </c>
      <c r="N500" s="20">
        <f>IF($M500="","",IF($M500&lt;TODAY(),"OVERDUE",IF($M500=TODAY(),"DUE TODAY",IF($M500&lt;=TODAY()+7,"THIS WEEK","LATER"))))</f>
        <v/>
      </c>
      <c r="O500" s="17" t="n"/>
      <c r="P500" s="17" t="n"/>
    </row>
    <row r="501">
      <c r="A501" s="17" t="n"/>
      <c r="B501" s="18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8" t="n"/>
      <c r="L501" s="6">
        <f>IF($J501="","",IFERROR(INDEX(Cadence!$B$4:$B$13,MATCH($J501,Cadence!$A$4:$A$13,0)),""))</f>
        <v/>
      </c>
      <c r="M501" s="19">
        <f>IF($J501="","",IFERROR(IF($K501="",$B501,$K501)+INDEX(Cadence!$C$4:$C$13,MATCH($J501,Cadence!$A$4:$A$13,0)),""))</f>
        <v/>
      </c>
      <c r="N501" s="20">
        <f>IF($M501="","",IF($M501&lt;TODAY(),"OVERDUE",IF($M501=TODAY(),"DUE TODAY",IF($M501&lt;=TODAY()+7,"THIS WEEK","LATER"))))</f>
        <v/>
      </c>
      <c r="O501" s="17" t="n"/>
      <c r="P501" s="17" t="n"/>
    </row>
    <row r="502">
      <c r="A502" s="17" t="n"/>
      <c r="B502" s="18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6">
        <f>IF($J502="","",IFERROR(INDEX(Cadence!$B$4:$B$13,MATCH($J502,Cadence!$A$4:$A$13,0)),""))</f>
        <v/>
      </c>
      <c r="M502" s="19">
        <f>IF($J502="","",IFERROR(IF($K502="",$B502,$K502)+INDEX(Cadence!$C$4:$C$13,MATCH($J502,Cadence!$A$4:$A$13,0)),""))</f>
        <v/>
      </c>
      <c r="N502" s="20">
        <f>IF($M502="","",IF($M502&lt;TODAY(),"OVERDUE",IF($M502=TODAY(),"DUE TODAY",IF($M502&lt;=TODAY()+7,"THIS WEEK","LATER"))))</f>
        <v/>
      </c>
      <c r="O502" s="17" t="n"/>
      <c r="P502" s="17" t="n"/>
    </row>
  </sheetData>
  <autoFilter ref="A1:P502"/>
  <conditionalFormatting sqref="N2:N502">
    <cfRule type="cellIs" priority="1" operator="equal" dxfId="0">
      <formula>"OVERDUE"</formula>
    </cfRule>
    <cfRule type="cellIs" priority="2" operator="equal" dxfId="1">
      <formula>"DUE TODAY"</formula>
    </cfRule>
    <cfRule type="cellIs" priority="3" operator="equal" dxfId="2">
      <formula>"THIS WEEK"</formula>
    </cfRule>
  </conditionalFormatting>
  <dataValidations count="2">
    <dataValidation sqref="J2:J502" showDropDown="0" showInputMessage="0" showErrorMessage="0" allowBlank="1" type="list">
      <formula1>=Cadence!$A$4:$A$13</formula1>
    </dataValidation>
    <dataValidation sqref="C2:C502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4" customWidth="1" min="4" max="4"/>
    <col width="30" customWidth="1" min="5" max="5"/>
    <col width="22" customWidth="1" min="6" max="6"/>
    <col width="14" customWidth="1" min="7" max="7"/>
    <col width="12" customWidth="1" min="8" max="8"/>
    <col width="22" customWidth="1" min="9" max="9"/>
    <col width="17" customWidth="1" min="10" max="10"/>
    <col width="34" customWidth="1" min="11" max="11"/>
  </cols>
  <sheetData>
    <row r="1">
      <c r="A1" s="16" t="inlineStr">
        <is>
          <t>Lead ID</t>
        </is>
      </c>
      <c r="B1" s="16" t="inlineStr">
        <is>
          <t>Date</t>
        </is>
      </c>
      <c r="C1" s="16" t="inlineStr">
        <is>
          <t>Time</t>
        </is>
      </c>
      <c r="D1" s="16" t="inlineStr">
        <is>
          <t>Owner Name</t>
        </is>
      </c>
      <c r="E1" s="16" t="inlineStr">
        <is>
          <t>Property Address</t>
        </is>
      </c>
      <c r="F1" s="16" t="inlineStr">
        <is>
          <t>Type</t>
        </is>
      </c>
      <c r="G1" s="16" t="inlineStr">
        <is>
          <t>Fee Quoted</t>
        </is>
      </c>
      <c r="H1" s="16" t="inlineStr">
        <is>
          <t>Booked?</t>
        </is>
      </c>
      <c r="I1" s="16" t="inlineStr">
        <is>
          <t>Outcome</t>
        </is>
      </c>
      <c r="J1" s="16" t="inlineStr">
        <is>
          <t>TRK</t>
        </is>
      </c>
      <c r="K1" s="16" t="inlineStr">
        <is>
          <t>Notes</t>
        </is>
      </c>
    </row>
    <row r="2">
      <c r="A2" s="17" t="n"/>
      <c r="B2" s="18" t="n"/>
      <c r="C2" s="17" t="n"/>
      <c r="D2" s="17" t="n"/>
      <c r="E2" s="17" t="n"/>
      <c r="F2" s="17" t="n"/>
      <c r="G2" s="21" t="n"/>
      <c r="H2" s="17" t="n"/>
      <c r="I2" s="17" t="n"/>
      <c r="J2" s="17" t="n"/>
      <c r="K2" s="17" t="n"/>
    </row>
    <row r="3">
      <c r="A3" s="17" t="n"/>
      <c r="B3" s="18" t="n"/>
      <c r="C3" s="17" t="n"/>
      <c r="D3" s="17" t="n"/>
      <c r="E3" s="17" t="n"/>
      <c r="F3" s="17" t="n"/>
      <c r="G3" s="21" t="n"/>
      <c r="H3" s="17" t="n"/>
      <c r="I3" s="17" t="n"/>
      <c r="J3" s="17" t="n"/>
      <c r="K3" s="17" t="n"/>
    </row>
    <row r="4">
      <c r="A4" s="17" t="n"/>
      <c r="B4" s="18" t="n"/>
      <c r="C4" s="17" t="n"/>
      <c r="D4" s="17" t="n"/>
      <c r="E4" s="17" t="n"/>
      <c r="F4" s="17" t="n"/>
      <c r="G4" s="21" t="n"/>
      <c r="H4" s="17" t="n"/>
      <c r="I4" s="17" t="n"/>
      <c r="J4" s="17" t="n"/>
      <c r="K4" s="17" t="n"/>
    </row>
    <row r="5">
      <c r="A5" s="17" t="n"/>
      <c r="B5" s="18" t="n"/>
      <c r="C5" s="17" t="n"/>
      <c r="D5" s="17" t="n"/>
      <c r="E5" s="17" t="n"/>
      <c r="F5" s="17" t="n"/>
      <c r="G5" s="21" t="n"/>
      <c r="H5" s="17" t="n"/>
      <c r="I5" s="17" t="n"/>
      <c r="J5" s="17" t="n"/>
      <c r="K5" s="17" t="n"/>
    </row>
    <row r="6">
      <c r="A6" s="17" t="n"/>
      <c r="B6" s="18" t="n"/>
      <c r="C6" s="17" t="n"/>
      <c r="D6" s="17" t="n"/>
      <c r="E6" s="17" t="n"/>
      <c r="F6" s="17" t="n"/>
      <c r="G6" s="21" t="n"/>
      <c r="H6" s="17" t="n"/>
      <c r="I6" s="17" t="n"/>
      <c r="J6" s="17" t="n"/>
      <c r="K6" s="17" t="n"/>
    </row>
    <row r="7">
      <c r="A7" s="17" t="n"/>
      <c r="B7" s="18" t="n"/>
      <c r="C7" s="17" t="n"/>
      <c r="D7" s="17" t="n"/>
      <c r="E7" s="17" t="n"/>
      <c r="F7" s="17" t="n"/>
      <c r="G7" s="21" t="n"/>
      <c r="H7" s="17" t="n"/>
      <c r="I7" s="17" t="n"/>
      <c r="J7" s="17" t="n"/>
      <c r="K7" s="17" t="n"/>
    </row>
    <row r="8">
      <c r="A8" s="17" t="n"/>
      <c r="B8" s="18" t="n"/>
      <c r="C8" s="17" t="n"/>
      <c r="D8" s="17" t="n"/>
      <c r="E8" s="17" t="n"/>
      <c r="F8" s="17" t="n"/>
      <c r="G8" s="21" t="n"/>
      <c r="H8" s="17" t="n"/>
      <c r="I8" s="17" t="n"/>
      <c r="J8" s="17" t="n"/>
      <c r="K8" s="17" t="n"/>
    </row>
    <row r="9">
      <c r="A9" s="17" t="n"/>
      <c r="B9" s="18" t="n"/>
      <c r="C9" s="17" t="n"/>
      <c r="D9" s="17" t="n"/>
      <c r="E9" s="17" t="n"/>
      <c r="F9" s="17" t="n"/>
      <c r="G9" s="21" t="n"/>
      <c r="H9" s="17" t="n"/>
      <c r="I9" s="17" t="n"/>
      <c r="J9" s="17" t="n"/>
      <c r="K9" s="17" t="n"/>
    </row>
    <row r="10">
      <c r="A10" s="17" t="n"/>
      <c r="B10" s="18" t="n"/>
      <c r="C10" s="17" t="n"/>
      <c r="D10" s="17" t="n"/>
      <c r="E10" s="17" t="n"/>
      <c r="F10" s="17" t="n"/>
      <c r="G10" s="21" t="n"/>
      <c r="H10" s="17" t="n"/>
      <c r="I10" s="17" t="n"/>
      <c r="J10" s="17" t="n"/>
      <c r="K10" s="17" t="n"/>
    </row>
    <row r="11">
      <c r="A11" s="17" t="n"/>
      <c r="B11" s="18" t="n"/>
      <c r="C11" s="17" t="n"/>
      <c r="D11" s="17" t="n"/>
      <c r="E11" s="17" t="n"/>
      <c r="F11" s="17" t="n"/>
      <c r="G11" s="21" t="n"/>
      <c r="H11" s="17" t="n"/>
      <c r="I11" s="17" t="n"/>
      <c r="J11" s="17" t="n"/>
      <c r="K11" s="17" t="n"/>
    </row>
    <row r="12">
      <c r="A12" s="17" t="n"/>
      <c r="B12" s="18" t="n"/>
      <c r="C12" s="17" t="n"/>
      <c r="D12" s="17" t="n"/>
      <c r="E12" s="17" t="n"/>
      <c r="F12" s="17" t="n"/>
      <c r="G12" s="21" t="n"/>
      <c r="H12" s="17" t="n"/>
      <c r="I12" s="17" t="n"/>
      <c r="J12" s="17" t="n"/>
      <c r="K12" s="17" t="n"/>
    </row>
    <row r="13">
      <c r="A13" s="17" t="n"/>
      <c r="B13" s="18" t="n"/>
      <c r="C13" s="17" t="n"/>
      <c r="D13" s="17" t="n"/>
      <c r="E13" s="17" t="n"/>
      <c r="F13" s="17" t="n"/>
      <c r="G13" s="21" t="n"/>
      <c r="H13" s="17" t="n"/>
      <c r="I13" s="17" t="n"/>
      <c r="J13" s="17" t="n"/>
      <c r="K13" s="17" t="n"/>
    </row>
    <row r="14">
      <c r="A14" s="17" t="n"/>
      <c r="B14" s="18" t="n"/>
      <c r="C14" s="17" t="n"/>
      <c r="D14" s="17" t="n"/>
      <c r="E14" s="17" t="n"/>
      <c r="F14" s="17" t="n"/>
      <c r="G14" s="21" t="n"/>
      <c r="H14" s="17" t="n"/>
      <c r="I14" s="17" t="n"/>
      <c r="J14" s="17" t="n"/>
      <c r="K14" s="17" t="n"/>
    </row>
    <row r="15">
      <c r="A15" s="17" t="n"/>
      <c r="B15" s="18" t="n"/>
      <c r="C15" s="17" t="n"/>
      <c r="D15" s="17" t="n"/>
      <c r="E15" s="17" t="n"/>
      <c r="F15" s="17" t="n"/>
      <c r="G15" s="21" t="n"/>
      <c r="H15" s="17" t="n"/>
      <c r="I15" s="17" t="n"/>
      <c r="J15" s="17" t="n"/>
      <c r="K15" s="17" t="n"/>
    </row>
    <row r="16">
      <c r="A16" s="17" t="n"/>
      <c r="B16" s="18" t="n"/>
      <c r="C16" s="17" t="n"/>
      <c r="D16" s="17" t="n"/>
      <c r="E16" s="17" t="n"/>
      <c r="F16" s="17" t="n"/>
      <c r="G16" s="21" t="n"/>
      <c r="H16" s="17" t="n"/>
      <c r="I16" s="17" t="n"/>
      <c r="J16" s="17" t="n"/>
      <c r="K16" s="17" t="n"/>
    </row>
    <row r="17">
      <c r="A17" s="17" t="n"/>
      <c r="B17" s="18" t="n"/>
      <c r="C17" s="17" t="n"/>
      <c r="D17" s="17" t="n"/>
      <c r="E17" s="17" t="n"/>
      <c r="F17" s="17" t="n"/>
      <c r="G17" s="21" t="n"/>
      <c r="H17" s="17" t="n"/>
      <c r="I17" s="17" t="n"/>
      <c r="J17" s="17" t="n"/>
      <c r="K17" s="17" t="n"/>
    </row>
    <row r="18">
      <c r="A18" s="17" t="n"/>
      <c r="B18" s="18" t="n"/>
      <c r="C18" s="17" t="n"/>
      <c r="D18" s="17" t="n"/>
      <c r="E18" s="17" t="n"/>
      <c r="F18" s="17" t="n"/>
      <c r="G18" s="21" t="n"/>
      <c r="H18" s="17" t="n"/>
      <c r="I18" s="17" t="n"/>
      <c r="J18" s="17" t="n"/>
      <c r="K18" s="17" t="n"/>
    </row>
    <row r="19">
      <c r="A19" s="17" t="n"/>
      <c r="B19" s="18" t="n"/>
      <c r="C19" s="17" t="n"/>
      <c r="D19" s="17" t="n"/>
      <c r="E19" s="17" t="n"/>
      <c r="F19" s="17" t="n"/>
      <c r="G19" s="21" t="n"/>
      <c r="H19" s="17" t="n"/>
      <c r="I19" s="17" t="n"/>
      <c r="J19" s="17" t="n"/>
      <c r="K19" s="17" t="n"/>
    </row>
    <row r="20">
      <c r="A20" s="17" t="n"/>
      <c r="B20" s="18" t="n"/>
      <c r="C20" s="17" t="n"/>
      <c r="D20" s="17" t="n"/>
      <c r="E20" s="17" t="n"/>
      <c r="F20" s="17" t="n"/>
      <c r="G20" s="21" t="n"/>
      <c r="H20" s="17" t="n"/>
      <c r="I20" s="17" t="n"/>
      <c r="J20" s="17" t="n"/>
      <c r="K20" s="17" t="n"/>
    </row>
    <row r="21">
      <c r="A21" s="17" t="n"/>
      <c r="B21" s="18" t="n"/>
      <c r="C21" s="17" t="n"/>
      <c r="D21" s="17" t="n"/>
      <c r="E21" s="17" t="n"/>
      <c r="F21" s="17" t="n"/>
      <c r="G21" s="21" t="n"/>
      <c r="H21" s="17" t="n"/>
      <c r="I21" s="17" t="n"/>
      <c r="J21" s="17" t="n"/>
      <c r="K21" s="17" t="n"/>
    </row>
    <row r="22">
      <c r="A22" s="17" t="n"/>
      <c r="B22" s="18" t="n"/>
      <c r="C22" s="17" t="n"/>
      <c r="D22" s="17" t="n"/>
      <c r="E22" s="17" t="n"/>
      <c r="F22" s="17" t="n"/>
      <c r="G22" s="21" t="n"/>
      <c r="H22" s="17" t="n"/>
      <c r="I22" s="17" t="n"/>
      <c r="J22" s="17" t="n"/>
      <c r="K22" s="17" t="n"/>
    </row>
    <row r="23">
      <c r="A23" s="17" t="n"/>
      <c r="B23" s="18" t="n"/>
      <c r="C23" s="17" t="n"/>
      <c r="D23" s="17" t="n"/>
      <c r="E23" s="17" t="n"/>
      <c r="F23" s="17" t="n"/>
      <c r="G23" s="21" t="n"/>
      <c r="H23" s="17" t="n"/>
      <c r="I23" s="17" t="n"/>
      <c r="J23" s="17" t="n"/>
      <c r="K23" s="17" t="n"/>
    </row>
    <row r="24">
      <c r="A24" s="17" t="n"/>
      <c r="B24" s="18" t="n"/>
      <c r="C24" s="17" t="n"/>
      <c r="D24" s="17" t="n"/>
      <c r="E24" s="17" t="n"/>
      <c r="F24" s="17" t="n"/>
      <c r="G24" s="21" t="n"/>
      <c r="H24" s="17" t="n"/>
      <c r="I24" s="17" t="n"/>
      <c r="J24" s="17" t="n"/>
      <c r="K24" s="17" t="n"/>
    </row>
    <row r="25">
      <c r="A25" s="17" t="n"/>
      <c r="B25" s="18" t="n"/>
      <c r="C25" s="17" t="n"/>
      <c r="D25" s="17" t="n"/>
      <c r="E25" s="17" t="n"/>
      <c r="F25" s="17" t="n"/>
      <c r="G25" s="21" t="n"/>
      <c r="H25" s="17" t="n"/>
      <c r="I25" s="17" t="n"/>
      <c r="J25" s="17" t="n"/>
      <c r="K25" s="17" t="n"/>
    </row>
    <row r="26">
      <c r="A26" s="17" t="n"/>
      <c r="B26" s="18" t="n"/>
      <c r="C26" s="17" t="n"/>
      <c r="D26" s="17" t="n"/>
      <c r="E26" s="17" t="n"/>
      <c r="F26" s="17" t="n"/>
      <c r="G26" s="21" t="n"/>
      <c r="H26" s="17" t="n"/>
      <c r="I26" s="17" t="n"/>
      <c r="J26" s="17" t="n"/>
      <c r="K26" s="17" t="n"/>
    </row>
    <row r="27">
      <c r="A27" s="17" t="n"/>
      <c r="B27" s="18" t="n"/>
      <c r="C27" s="17" t="n"/>
      <c r="D27" s="17" t="n"/>
      <c r="E27" s="17" t="n"/>
      <c r="F27" s="17" t="n"/>
      <c r="G27" s="21" t="n"/>
      <c r="H27" s="17" t="n"/>
      <c r="I27" s="17" t="n"/>
      <c r="J27" s="17" t="n"/>
      <c r="K27" s="17" t="n"/>
    </row>
    <row r="28">
      <c r="A28" s="17" t="n"/>
      <c r="B28" s="18" t="n"/>
      <c r="C28" s="17" t="n"/>
      <c r="D28" s="17" t="n"/>
      <c r="E28" s="17" t="n"/>
      <c r="F28" s="17" t="n"/>
      <c r="G28" s="21" t="n"/>
      <c r="H28" s="17" t="n"/>
      <c r="I28" s="17" t="n"/>
      <c r="J28" s="17" t="n"/>
      <c r="K28" s="17" t="n"/>
    </row>
    <row r="29">
      <c r="A29" s="17" t="n"/>
      <c r="B29" s="18" t="n"/>
      <c r="C29" s="17" t="n"/>
      <c r="D29" s="17" t="n"/>
      <c r="E29" s="17" t="n"/>
      <c r="F29" s="17" t="n"/>
      <c r="G29" s="21" t="n"/>
      <c r="H29" s="17" t="n"/>
      <c r="I29" s="17" t="n"/>
      <c r="J29" s="17" t="n"/>
      <c r="K29" s="17" t="n"/>
    </row>
    <row r="30">
      <c r="A30" s="17" t="n"/>
      <c r="B30" s="18" t="n"/>
      <c r="C30" s="17" t="n"/>
      <c r="D30" s="17" t="n"/>
      <c r="E30" s="17" t="n"/>
      <c r="F30" s="17" t="n"/>
      <c r="G30" s="21" t="n"/>
      <c r="H30" s="17" t="n"/>
      <c r="I30" s="17" t="n"/>
      <c r="J30" s="17" t="n"/>
      <c r="K30" s="17" t="n"/>
    </row>
    <row r="31">
      <c r="A31" s="17" t="n"/>
      <c r="B31" s="18" t="n"/>
      <c r="C31" s="17" t="n"/>
      <c r="D31" s="17" t="n"/>
      <c r="E31" s="17" t="n"/>
      <c r="F31" s="17" t="n"/>
      <c r="G31" s="21" t="n"/>
      <c r="H31" s="17" t="n"/>
      <c r="I31" s="17" t="n"/>
      <c r="J31" s="17" t="n"/>
      <c r="K31" s="17" t="n"/>
    </row>
    <row r="32">
      <c r="A32" s="17" t="n"/>
      <c r="B32" s="18" t="n"/>
      <c r="C32" s="17" t="n"/>
      <c r="D32" s="17" t="n"/>
      <c r="E32" s="17" t="n"/>
      <c r="F32" s="17" t="n"/>
      <c r="G32" s="21" t="n"/>
      <c r="H32" s="17" t="n"/>
      <c r="I32" s="17" t="n"/>
      <c r="J32" s="17" t="n"/>
      <c r="K32" s="17" t="n"/>
    </row>
    <row r="33">
      <c r="A33" s="17" t="n"/>
      <c r="B33" s="18" t="n"/>
      <c r="C33" s="17" t="n"/>
      <c r="D33" s="17" t="n"/>
      <c r="E33" s="17" t="n"/>
      <c r="F33" s="17" t="n"/>
      <c r="G33" s="21" t="n"/>
      <c r="H33" s="17" t="n"/>
      <c r="I33" s="17" t="n"/>
      <c r="J33" s="17" t="n"/>
      <c r="K33" s="17" t="n"/>
    </row>
    <row r="34">
      <c r="A34" s="17" t="n"/>
      <c r="B34" s="18" t="n"/>
      <c r="C34" s="17" t="n"/>
      <c r="D34" s="17" t="n"/>
      <c r="E34" s="17" t="n"/>
      <c r="F34" s="17" t="n"/>
      <c r="G34" s="21" t="n"/>
      <c r="H34" s="17" t="n"/>
      <c r="I34" s="17" t="n"/>
      <c r="J34" s="17" t="n"/>
      <c r="K34" s="17" t="n"/>
    </row>
    <row r="35">
      <c r="A35" s="17" t="n"/>
      <c r="B35" s="18" t="n"/>
      <c r="C35" s="17" t="n"/>
      <c r="D35" s="17" t="n"/>
      <c r="E35" s="17" t="n"/>
      <c r="F35" s="17" t="n"/>
      <c r="G35" s="21" t="n"/>
      <c r="H35" s="17" t="n"/>
      <c r="I35" s="17" t="n"/>
      <c r="J35" s="17" t="n"/>
      <c r="K35" s="17" t="n"/>
    </row>
    <row r="36">
      <c r="A36" s="17" t="n"/>
      <c r="B36" s="18" t="n"/>
      <c r="C36" s="17" t="n"/>
      <c r="D36" s="17" t="n"/>
      <c r="E36" s="17" t="n"/>
      <c r="F36" s="17" t="n"/>
      <c r="G36" s="21" t="n"/>
      <c r="H36" s="17" t="n"/>
      <c r="I36" s="17" t="n"/>
      <c r="J36" s="17" t="n"/>
      <c r="K36" s="17" t="n"/>
    </row>
    <row r="37">
      <c r="A37" s="17" t="n"/>
      <c r="B37" s="18" t="n"/>
      <c r="C37" s="17" t="n"/>
      <c r="D37" s="17" t="n"/>
      <c r="E37" s="17" t="n"/>
      <c r="F37" s="17" t="n"/>
      <c r="G37" s="21" t="n"/>
      <c r="H37" s="17" t="n"/>
      <c r="I37" s="17" t="n"/>
      <c r="J37" s="17" t="n"/>
      <c r="K37" s="17" t="n"/>
    </row>
    <row r="38">
      <c r="A38" s="17" t="n"/>
      <c r="B38" s="18" t="n"/>
      <c r="C38" s="17" t="n"/>
      <c r="D38" s="17" t="n"/>
      <c r="E38" s="17" t="n"/>
      <c r="F38" s="17" t="n"/>
      <c r="G38" s="21" t="n"/>
      <c r="H38" s="17" t="n"/>
      <c r="I38" s="17" t="n"/>
      <c r="J38" s="17" t="n"/>
      <c r="K38" s="17" t="n"/>
    </row>
    <row r="39">
      <c r="A39" s="17" t="n"/>
      <c r="B39" s="18" t="n"/>
      <c r="C39" s="17" t="n"/>
      <c r="D39" s="17" t="n"/>
      <c r="E39" s="17" t="n"/>
      <c r="F39" s="17" t="n"/>
      <c r="G39" s="21" t="n"/>
      <c r="H39" s="17" t="n"/>
      <c r="I39" s="17" t="n"/>
      <c r="J39" s="17" t="n"/>
      <c r="K39" s="17" t="n"/>
    </row>
    <row r="40">
      <c r="A40" s="17" t="n"/>
      <c r="B40" s="18" t="n"/>
      <c r="C40" s="17" t="n"/>
      <c r="D40" s="17" t="n"/>
      <c r="E40" s="17" t="n"/>
      <c r="F40" s="17" t="n"/>
      <c r="G40" s="21" t="n"/>
      <c r="H40" s="17" t="n"/>
      <c r="I40" s="17" t="n"/>
      <c r="J40" s="17" t="n"/>
      <c r="K40" s="17" t="n"/>
    </row>
    <row r="41">
      <c r="A41" s="17" t="n"/>
      <c r="B41" s="18" t="n"/>
      <c r="C41" s="17" t="n"/>
      <c r="D41" s="17" t="n"/>
      <c r="E41" s="17" t="n"/>
      <c r="F41" s="17" t="n"/>
      <c r="G41" s="21" t="n"/>
      <c r="H41" s="17" t="n"/>
      <c r="I41" s="17" t="n"/>
      <c r="J41" s="17" t="n"/>
      <c r="K41" s="17" t="n"/>
    </row>
    <row r="42">
      <c r="A42" s="17" t="n"/>
      <c r="B42" s="18" t="n"/>
      <c r="C42" s="17" t="n"/>
      <c r="D42" s="17" t="n"/>
      <c r="E42" s="17" t="n"/>
      <c r="F42" s="17" t="n"/>
      <c r="G42" s="21" t="n"/>
      <c r="H42" s="17" t="n"/>
      <c r="I42" s="17" t="n"/>
      <c r="J42" s="17" t="n"/>
      <c r="K42" s="17" t="n"/>
    </row>
    <row r="43">
      <c r="A43" s="17" t="n"/>
      <c r="B43" s="18" t="n"/>
      <c r="C43" s="17" t="n"/>
      <c r="D43" s="17" t="n"/>
      <c r="E43" s="17" t="n"/>
      <c r="F43" s="17" t="n"/>
      <c r="G43" s="21" t="n"/>
      <c r="H43" s="17" t="n"/>
      <c r="I43" s="17" t="n"/>
      <c r="J43" s="17" t="n"/>
      <c r="K43" s="17" t="n"/>
    </row>
    <row r="44">
      <c r="A44" s="17" t="n"/>
      <c r="B44" s="18" t="n"/>
      <c r="C44" s="17" t="n"/>
      <c r="D44" s="17" t="n"/>
      <c r="E44" s="17" t="n"/>
      <c r="F44" s="17" t="n"/>
      <c r="G44" s="21" t="n"/>
      <c r="H44" s="17" t="n"/>
      <c r="I44" s="17" t="n"/>
      <c r="J44" s="17" t="n"/>
      <c r="K44" s="17" t="n"/>
    </row>
    <row r="45">
      <c r="A45" s="17" t="n"/>
      <c r="B45" s="18" t="n"/>
      <c r="C45" s="17" t="n"/>
      <c r="D45" s="17" t="n"/>
      <c r="E45" s="17" t="n"/>
      <c r="F45" s="17" t="n"/>
      <c r="G45" s="21" t="n"/>
      <c r="H45" s="17" t="n"/>
      <c r="I45" s="17" t="n"/>
      <c r="J45" s="17" t="n"/>
      <c r="K45" s="17" t="n"/>
    </row>
    <row r="46">
      <c r="A46" s="17" t="n"/>
      <c r="B46" s="18" t="n"/>
      <c r="C46" s="17" t="n"/>
      <c r="D46" s="17" t="n"/>
      <c r="E46" s="17" t="n"/>
      <c r="F46" s="17" t="n"/>
      <c r="G46" s="21" t="n"/>
      <c r="H46" s="17" t="n"/>
      <c r="I46" s="17" t="n"/>
      <c r="J46" s="17" t="n"/>
      <c r="K46" s="17" t="n"/>
    </row>
    <row r="47">
      <c r="A47" s="17" t="n"/>
      <c r="B47" s="18" t="n"/>
      <c r="C47" s="17" t="n"/>
      <c r="D47" s="17" t="n"/>
      <c r="E47" s="17" t="n"/>
      <c r="F47" s="17" t="n"/>
      <c r="G47" s="21" t="n"/>
      <c r="H47" s="17" t="n"/>
      <c r="I47" s="17" t="n"/>
      <c r="J47" s="17" t="n"/>
      <c r="K47" s="17" t="n"/>
    </row>
    <row r="48">
      <c r="A48" s="17" t="n"/>
      <c r="B48" s="18" t="n"/>
      <c r="C48" s="17" t="n"/>
      <c r="D48" s="17" t="n"/>
      <c r="E48" s="17" t="n"/>
      <c r="F48" s="17" t="n"/>
      <c r="G48" s="21" t="n"/>
      <c r="H48" s="17" t="n"/>
      <c r="I48" s="17" t="n"/>
      <c r="J48" s="17" t="n"/>
      <c r="K48" s="17" t="n"/>
    </row>
    <row r="49">
      <c r="A49" s="17" t="n"/>
      <c r="B49" s="18" t="n"/>
      <c r="C49" s="17" t="n"/>
      <c r="D49" s="17" t="n"/>
      <c r="E49" s="17" t="n"/>
      <c r="F49" s="17" t="n"/>
      <c r="G49" s="21" t="n"/>
      <c r="H49" s="17" t="n"/>
      <c r="I49" s="17" t="n"/>
      <c r="J49" s="17" t="n"/>
      <c r="K49" s="17" t="n"/>
    </row>
    <row r="50">
      <c r="A50" s="17" t="n"/>
      <c r="B50" s="18" t="n"/>
      <c r="C50" s="17" t="n"/>
      <c r="D50" s="17" t="n"/>
      <c r="E50" s="17" t="n"/>
      <c r="F50" s="17" t="n"/>
      <c r="G50" s="21" t="n"/>
      <c r="H50" s="17" t="n"/>
      <c r="I50" s="17" t="n"/>
      <c r="J50" s="17" t="n"/>
      <c r="K50" s="17" t="n"/>
    </row>
    <row r="51">
      <c r="A51" s="17" t="n"/>
      <c r="B51" s="18" t="n"/>
      <c r="C51" s="17" t="n"/>
      <c r="D51" s="17" t="n"/>
      <c r="E51" s="17" t="n"/>
      <c r="F51" s="17" t="n"/>
      <c r="G51" s="21" t="n"/>
      <c r="H51" s="17" t="n"/>
      <c r="I51" s="17" t="n"/>
      <c r="J51" s="17" t="n"/>
      <c r="K51" s="17" t="n"/>
    </row>
    <row r="52">
      <c r="A52" s="17" t="n"/>
      <c r="B52" s="18" t="n"/>
      <c r="C52" s="17" t="n"/>
      <c r="D52" s="17" t="n"/>
      <c r="E52" s="17" t="n"/>
      <c r="F52" s="17" t="n"/>
      <c r="G52" s="21" t="n"/>
      <c r="H52" s="17" t="n"/>
      <c r="I52" s="17" t="n"/>
      <c r="J52" s="17" t="n"/>
      <c r="K52" s="17" t="n"/>
    </row>
    <row r="53">
      <c r="A53" s="17" t="n"/>
      <c r="B53" s="18" t="n"/>
      <c r="C53" s="17" t="n"/>
      <c r="D53" s="17" t="n"/>
      <c r="E53" s="17" t="n"/>
      <c r="F53" s="17" t="n"/>
      <c r="G53" s="21" t="n"/>
      <c r="H53" s="17" t="n"/>
      <c r="I53" s="17" t="n"/>
      <c r="J53" s="17" t="n"/>
      <c r="K53" s="17" t="n"/>
    </row>
    <row r="54">
      <c r="A54" s="17" t="n"/>
      <c r="B54" s="18" t="n"/>
      <c r="C54" s="17" t="n"/>
      <c r="D54" s="17" t="n"/>
      <c r="E54" s="17" t="n"/>
      <c r="F54" s="17" t="n"/>
      <c r="G54" s="21" t="n"/>
      <c r="H54" s="17" t="n"/>
      <c r="I54" s="17" t="n"/>
      <c r="J54" s="17" t="n"/>
      <c r="K54" s="17" t="n"/>
    </row>
    <row r="55">
      <c r="A55" s="17" t="n"/>
      <c r="B55" s="18" t="n"/>
      <c r="C55" s="17" t="n"/>
      <c r="D55" s="17" t="n"/>
      <c r="E55" s="17" t="n"/>
      <c r="F55" s="17" t="n"/>
      <c r="G55" s="21" t="n"/>
      <c r="H55" s="17" t="n"/>
      <c r="I55" s="17" t="n"/>
      <c r="J55" s="17" t="n"/>
      <c r="K55" s="17" t="n"/>
    </row>
    <row r="56">
      <c r="A56" s="17" t="n"/>
      <c r="B56" s="18" t="n"/>
      <c r="C56" s="17" t="n"/>
      <c r="D56" s="17" t="n"/>
      <c r="E56" s="17" t="n"/>
      <c r="F56" s="17" t="n"/>
      <c r="G56" s="21" t="n"/>
      <c r="H56" s="17" t="n"/>
      <c r="I56" s="17" t="n"/>
      <c r="J56" s="17" t="n"/>
      <c r="K56" s="17" t="n"/>
    </row>
    <row r="57">
      <c r="A57" s="17" t="n"/>
      <c r="B57" s="18" t="n"/>
      <c r="C57" s="17" t="n"/>
      <c r="D57" s="17" t="n"/>
      <c r="E57" s="17" t="n"/>
      <c r="F57" s="17" t="n"/>
      <c r="G57" s="21" t="n"/>
      <c r="H57" s="17" t="n"/>
      <c r="I57" s="17" t="n"/>
      <c r="J57" s="17" t="n"/>
      <c r="K57" s="17" t="n"/>
    </row>
    <row r="58">
      <c r="A58" s="17" t="n"/>
      <c r="B58" s="18" t="n"/>
      <c r="C58" s="17" t="n"/>
      <c r="D58" s="17" t="n"/>
      <c r="E58" s="17" t="n"/>
      <c r="F58" s="17" t="n"/>
      <c r="G58" s="21" t="n"/>
      <c r="H58" s="17" t="n"/>
      <c r="I58" s="17" t="n"/>
      <c r="J58" s="17" t="n"/>
      <c r="K58" s="17" t="n"/>
    </row>
    <row r="59">
      <c r="A59" s="17" t="n"/>
      <c r="B59" s="18" t="n"/>
      <c r="C59" s="17" t="n"/>
      <c r="D59" s="17" t="n"/>
      <c r="E59" s="17" t="n"/>
      <c r="F59" s="17" t="n"/>
      <c r="G59" s="21" t="n"/>
      <c r="H59" s="17" t="n"/>
      <c r="I59" s="17" t="n"/>
      <c r="J59" s="17" t="n"/>
      <c r="K59" s="17" t="n"/>
    </row>
    <row r="60">
      <c r="A60" s="17" t="n"/>
      <c r="B60" s="18" t="n"/>
      <c r="C60" s="17" t="n"/>
      <c r="D60" s="17" t="n"/>
      <c r="E60" s="17" t="n"/>
      <c r="F60" s="17" t="n"/>
      <c r="G60" s="21" t="n"/>
      <c r="H60" s="17" t="n"/>
      <c r="I60" s="17" t="n"/>
      <c r="J60" s="17" t="n"/>
      <c r="K60" s="17" t="n"/>
    </row>
    <row r="61">
      <c r="A61" s="17" t="n"/>
      <c r="B61" s="18" t="n"/>
      <c r="C61" s="17" t="n"/>
      <c r="D61" s="17" t="n"/>
      <c r="E61" s="17" t="n"/>
      <c r="F61" s="17" t="n"/>
      <c r="G61" s="21" t="n"/>
      <c r="H61" s="17" t="n"/>
      <c r="I61" s="17" t="n"/>
      <c r="J61" s="17" t="n"/>
      <c r="K61" s="17" t="n"/>
    </row>
    <row r="62">
      <c r="A62" s="17" t="n"/>
      <c r="B62" s="18" t="n"/>
      <c r="C62" s="17" t="n"/>
      <c r="D62" s="17" t="n"/>
      <c r="E62" s="17" t="n"/>
      <c r="F62" s="17" t="n"/>
      <c r="G62" s="21" t="n"/>
      <c r="H62" s="17" t="n"/>
      <c r="I62" s="17" t="n"/>
      <c r="J62" s="17" t="n"/>
      <c r="K62" s="17" t="n"/>
    </row>
    <row r="63">
      <c r="A63" s="17" t="n"/>
      <c r="B63" s="18" t="n"/>
      <c r="C63" s="17" t="n"/>
      <c r="D63" s="17" t="n"/>
      <c r="E63" s="17" t="n"/>
      <c r="F63" s="17" t="n"/>
      <c r="G63" s="21" t="n"/>
      <c r="H63" s="17" t="n"/>
      <c r="I63" s="17" t="n"/>
      <c r="J63" s="17" t="n"/>
      <c r="K63" s="17" t="n"/>
    </row>
    <row r="64">
      <c r="A64" s="17" t="n"/>
      <c r="B64" s="18" t="n"/>
      <c r="C64" s="17" t="n"/>
      <c r="D64" s="17" t="n"/>
      <c r="E64" s="17" t="n"/>
      <c r="F64" s="17" t="n"/>
      <c r="G64" s="21" t="n"/>
      <c r="H64" s="17" t="n"/>
      <c r="I64" s="17" t="n"/>
      <c r="J64" s="17" t="n"/>
      <c r="K64" s="17" t="n"/>
    </row>
    <row r="65">
      <c r="A65" s="17" t="n"/>
      <c r="B65" s="18" t="n"/>
      <c r="C65" s="17" t="n"/>
      <c r="D65" s="17" t="n"/>
      <c r="E65" s="17" t="n"/>
      <c r="F65" s="17" t="n"/>
      <c r="G65" s="21" t="n"/>
      <c r="H65" s="17" t="n"/>
      <c r="I65" s="17" t="n"/>
      <c r="J65" s="17" t="n"/>
      <c r="K65" s="17" t="n"/>
    </row>
    <row r="66">
      <c r="A66" s="17" t="n"/>
      <c r="B66" s="18" t="n"/>
      <c r="C66" s="17" t="n"/>
      <c r="D66" s="17" t="n"/>
      <c r="E66" s="17" t="n"/>
      <c r="F66" s="17" t="n"/>
      <c r="G66" s="21" t="n"/>
      <c r="H66" s="17" t="n"/>
      <c r="I66" s="17" t="n"/>
      <c r="J66" s="17" t="n"/>
      <c r="K66" s="17" t="n"/>
    </row>
    <row r="67">
      <c r="A67" s="17" t="n"/>
      <c r="B67" s="18" t="n"/>
      <c r="C67" s="17" t="n"/>
      <c r="D67" s="17" t="n"/>
      <c r="E67" s="17" t="n"/>
      <c r="F67" s="17" t="n"/>
      <c r="G67" s="21" t="n"/>
      <c r="H67" s="17" t="n"/>
      <c r="I67" s="17" t="n"/>
      <c r="J67" s="17" t="n"/>
      <c r="K67" s="17" t="n"/>
    </row>
    <row r="68">
      <c r="A68" s="17" t="n"/>
      <c r="B68" s="18" t="n"/>
      <c r="C68" s="17" t="n"/>
      <c r="D68" s="17" t="n"/>
      <c r="E68" s="17" t="n"/>
      <c r="F68" s="17" t="n"/>
      <c r="G68" s="21" t="n"/>
      <c r="H68" s="17" t="n"/>
      <c r="I68" s="17" t="n"/>
      <c r="J68" s="17" t="n"/>
      <c r="K68" s="17" t="n"/>
    </row>
    <row r="69">
      <c r="A69" s="17" t="n"/>
      <c r="B69" s="18" t="n"/>
      <c r="C69" s="17" t="n"/>
      <c r="D69" s="17" t="n"/>
      <c r="E69" s="17" t="n"/>
      <c r="F69" s="17" t="n"/>
      <c r="G69" s="21" t="n"/>
      <c r="H69" s="17" t="n"/>
      <c r="I69" s="17" t="n"/>
      <c r="J69" s="17" t="n"/>
      <c r="K69" s="17" t="n"/>
    </row>
    <row r="70">
      <c r="A70" s="17" t="n"/>
      <c r="B70" s="18" t="n"/>
      <c r="C70" s="17" t="n"/>
      <c r="D70" s="17" t="n"/>
      <c r="E70" s="17" t="n"/>
      <c r="F70" s="17" t="n"/>
      <c r="G70" s="21" t="n"/>
      <c r="H70" s="17" t="n"/>
      <c r="I70" s="17" t="n"/>
      <c r="J70" s="17" t="n"/>
      <c r="K70" s="17" t="n"/>
    </row>
    <row r="71">
      <c r="A71" s="17" t="n"/>
      <c r="B71" s="18" t="n"/>
      <c r="C71" s="17" t="n"/>
      <c r="D71" s="17" t="n"/>
      <c r="E71" s="17" t="n"/>
      <c r="F71" s="17" t="n"/>
      <c r="G71" s="21" t="n"/>
      <c r="H71" s="17" t="n"/>
      <c r="I71" s="17" t="n"/>
      <c r="J71" s="17" t="n"/>
      <c r="K71" s="17" t="n"/>
    </row>
    <row r="72">
      <c r="A72" s="17" t="n"/>
      <c r="B72" s="18" t="n"/>
      <c r="C72" s="17" t="n"/>
      <c r="D72" s="17" t="n"/>
      <c r="E72" s="17" t="n"/>
      <c r="F72" s="17" t="n"/>
      <c r="G72" s="21" t="n"/>
      <c r="H72" s="17" t="n"/>
      <c r="I72" s="17" t="n"/>
      <c r="J72" s="17" t="n"/>
      <c r="K72" s="17" t="n"/>
    </row>
    <row r="73">
      <c r="A73" s="17" t="n"/>
      <c r="B73" s="18" t="n"/>
      <c r="C73" s="17" t="n"/>
      <c r="D73" s="17" t="n"/>
      <c r="E73" s="17" t="n"/>
      <c r="F73" s="17" t="n"/>
      <c r="G73" s="21" t="n"/>
      <c r="H73" s="17" t="n"/>
      <c r="I73" s="17" t="n"/>
      <c r="J73" s="17" t="n"/>
      <c r="K73" s="17" t="n"/>
    </row>
    <row r="74">
      <c r="A74" s="17" t="n"/>
      <c r="B74" s="18" t="n"/>
      <c r="C74" s="17" t="n"/>
      <c r="D74" s="17" t="n"/>
      <c r="E74" s="17" t="n"/>
      <c r="F74" s="17" t="n"/>
      <c r="G74" s="21" t="n"/>
      <c r="H74" s="17" t="n"/>
      <c r="I74" s="17" t="n"/>
      <c r="J74" s="17" t="n"/>
      <c r="K74" s="17" t="n"/>
    </row>
    <row r="75">
      <c r="A75" s="17" t="n"/>
      <c r="B75" s="18" t="n"/>
      <c r="C75" s="17" t="n"/>
      <c r="D75" s="17" t="n"/>
      <c r="E75" s="17" t="n"/>
      <c r="F75" s="17" t="n"/>
      <c r="G75" s="21" t="n"/>
      <c r="H75" s="17" t="n"/>
      <c r="I75" s="17" t="n"/>
      <c r="J75" s="17" t="n"/>
      <c r="K75" s="17" t="n"/>
    </row>
    <row r="76">
      <c r="A76" s="17" t="n"/>
      <c r="B76" s="18" t="n"/>
      <c r="C76" s="17" t="n"/>
      <c r="D76" s="17" t="n"/>
      <c r="E76" s="17" t="n"/>
      <c r="F76" s="17" t="n"/>
      <c r="G76" s="21" t="n"/>
      <c r="H76" s="17" t="n"/>
      <c r="I76" s="17" t="n"/>
      <c r="J76" s="17" t="n"/>
      <c r="K76" s="17" t="n"/>
    </row>
    <row r="77">
      <c r="A77" s="17" t="n"/>
      <c r="B77" s="18" t="n"/>
      <c r="C77" s="17" t="n"/>
      <c r="D77" s="17" t="n"/>
      <c r="E77" s="17" t="n"/>
      <c r="F77" s="17" t="n"/>
      <c r="G77" s="21" t="n"/>
      <c r="H77" s="17" t="n"/>
      <c r="I77" s="17" t="n"/>
      <c r="J77" s="17" t="n"/>
      <c r="K77" s="17" t="n"/>
    </row>
    <row r="78">
      <c r="A78" s="17" t="n"/>
      <c r="B78" s="18" t="n"/>
      <c r="C78" s="17" t="n"/>
      <c r="D78" s="17" t="n"/>
      <c r="E78" s="17" t="n"/>
      <c r="F78" s="17" t="n"/>
      <c r="G78" s="21" t="n"/>
      <c r="H78" s="17" t="n"/>
      <c r="I78" s="17" t="n"/>
      <c r="J78" s="17" t="n"/>
      <c r="K78" s="17" t="n"/>
    </row>
    <row r="79">
      <c r="A79" s="17" t="n"/>
      <c r="B79" s="18" t="n"/>
      <c r="C79" s="17" t="n"/>
      <c r="D79" s="17" t="n"/>
      <c r="E79" s="17" t="n"/>
      <c r="F79" s="17" t="n"/>
      <c r="G79" s="21" t="n"/>
      <c r="H79" s="17" t="n"/>
      <c r="I79" s="17" t="n"/>
      <c r="J79" s="17" t="n"/>
      <c r="K79" s="17" t="n"/>
    </row>
    <row r="80">
      <c r="A80" s="17" t="n"/>
      <c r="B80" s="18" t="n"/>
      <c r="C80" s="17" t="n"/>
      <c r="D80" s="17" t="n"/>
      <c r="E80" s="17" t="n"/>
      <c r="F80" s="17" t="n"/>
      <c r="G80" s="21" t="n"/>
      <c r="H80" s="17" t="n"/>
      <c r="I80" s="17" t="n"/>
      <c r="J80" s="17" t="n"/>
      <c r="K80" s="17" t="n"/>
    </row>
    <row r="81">
      <c r="A81" s="17" t="n"/>
      <c r="B81" s="18" t="n"/>
      <c r="C81" s="17" t="n"/>
      <c r="D81" s="17" t="n"/>
      <c r="E81" s="17" t="n"/>
      <c r="F81" s="17" t="n"/>
      <c r="G81" s="21" t="n"/>
      <c r="H81" s="17" t="n"/>
      <c r="I81" s="17" t="n"/>
      <c r="J81" s="17" t="n"/>
      <c r="K81" s="17" t="n"/>
    </row>
    <row r="82">
      <c r="A82" s="17" t="n"/>
      <c r="B82" s="18" t="n"/>
      <c r="C82" s="17" t="n"/>
      <c r="D82" s="17" t="n"/>
      <c r="E82" s="17" t="n"/>
      <c r="F82" s="17" t="n"/>
      <c r="G82" s="21" t="n"/>
      <c r="H82" s="17" t="n"/>
      <c r="I82" s="17" t="n"/>
      <c r="J82" s="17" t="n"/>
      <c r="K82" s="17" t="n"/>
    </row>
    <row r="83">
      <c r="A83" s="17" t="n"/>
      <c r="B83" s="18" t="n"/>
      <c r="C83" s="17" t="n"/>
      <c r="D83" s="17" t="n"/>
      <c r="E83" s="17" t="n"/>
      <c r="F83" s="17" t="n"/>
      <c r="G83" s="21" t="n"/>
      <c r="H83" s="17" t="n"/>
      <c r="I83" s="17" t="n"/>
      <c r="J83" s="17" t="n"/>
      <c r="K83" s="17" t="n"/>
    </row>
    <row r="84">
      <c r="A84" s="17" t="n"/>
      <c r="B84" s="18" t="n"/>
      <c r="C84" s="17" t="n"/>
      <c r="D84" s="17" t="n"/>
      <c r="E84" s="17" t="n"/>
      <c r="F84" s="17" t="n"/>
      <c r="G84" s="21" t="n"/>
      <c r="H84" s="17" t="n"/>
      <c r="I84" s="17" t="n"/>
      <c r="J84" s="17" t="n"/>
      <c r="K84" s="17" t="n"/>
    </row>
    <row r="85">
      <c r="A85" s="17" t="n"/>
      <c r="B85" s="18" t="n"/>
      <c r="C85" s="17" t="n"/>
      <c r="D85" s="17" t="n"/>
      <c r="E85" s="17" t="n"/>
      <c r="F85" s="17" t="n"/>
      <c r="G85" s="21" t="n"/>
      <c r="H85" s="17" t="n"/>
      <c r="I85" s="17" t="n"/>
      <c r="J85" s="17" t="n"/>
      <c r="K85" s="17" t="n"/>
    </row>
    <row r="86">
      <c r="A86" s="17" t="n"/>
      <c r="B86" s="18" t="n"/>
      <c r="C86" s="17" t="n"/>
      <c r="D86" s="17" t="n"/>
      <c r="E86" s="17" t="n"/>
      <c r="F86" s="17" t="n"/>
      <c r="G86" s="21" t="n"/>
      <c r="H86" s="17" t="n"/>
      <c r="I86" s="17" t="n"/>
      <c r="J86" s="17" t="n"/>
      <c r="K86" s="17" t="n"/>
    </row>
    <row r="87">
      <c r="A87" s="17" t="n"/>
      <c r="B87" s="18" t="n"/>
      <c r="C87" s="17" t="n"/>
      <c r="D87" s="17" t="n"/>
      <c r="E87" s="17" t="n"/>
      <c r="F87" s="17" t="n"/>
      <c r="G87" s="21" t="n"/>
      <c r="H87" s="17" t="n"/>
      <c r="I87" s="17" t="n"/>
      <c r="J87" s="17" t="n"/>
      <c r="K87" s="17" t="n"/>
    </row>
    <row r="88">
      <c r="A88" s="17" t="n"/>
      <c r="B88" s="18" t="n"/>
      <c r="C88" s="17" t="n"/>
      <c r="D88" s="17" t="n"/>
      <c r="E88" s="17" t="n"/>
      <c r="F88" s="17" t="n"/>
      <c r="G88" s="21" t="n"/>
      <c r="H88" s="17" t="n"/>
      <c r="I88" s="17" t="n"/>
      <c r="J88" s="17" t="n"/>
      <c r="K88" s="17" t="n"/>
    </row>
    <row r="89">
      <c r="A89" s="17" t="n"/>
      <c r="B89" s="18" t="n"/>
      <c r="C89" s="17" t="n"/>
      <c r="D89" s="17" t="n"/>
      <c r="E89" s="17" t="n"/>
      <c r="F89" s="17" t="n"/>
      <c r="G89" s="21" t="n"/>
      <c r="H89" s="17" t="n"/>
      <c r="I89" s="17" t="n"/>
      <c r="J89" s="17" t="n"/>
      <c r="K89" s="17" t="n"/>
    </row>
    <row r="90">
      <c r="A90" s="17" t="n"/>
      <c r="B90" s="18" t="n"/>
      <c r="C90" s="17" t="n"/>
      <c r="D90" s="17" t="n"/>
      <c r="E90" s="17" t="n"/>
      <c r="F90" s="17" t="n"/>
      <c r="G90" s="21" t="n"/>
      <c r="H90" s="17" t="n"/>
      <c r="I90" s="17" t="n"/>
      <c r="J90" s="17" t="n"/>
      <c r="K90" s="17" t="n"/>
    </row>
    <row r="91">
      <c r="A91" s="17" t="n"/>
      <c r="B91" s="18" t="n"/>
      <c r="C91" s="17" t="n"/>
      <c r="D91" s="17" t="n"/>
      <c r="E91" s="17" t="n"/>
      <c r="F91" s="17" t="n"/>
      <c r="G91" s="21" t="n"/>
      <c r="H91" s="17" t="n"/>
      <c r="I91" s="17" t="n"/>
      <c r="J91" s="17" t="n"/>
      <c r="K91" s="17" t="n"/>
    </row>
    <row r="92">
      <c r="A92" s="17" t="n"/>
      <c r="B92" s="18" t="n"/>
      <c r="C92" s="17" t="n"/>
      <c r="D92" s="17" t="n"/>
      <c r="E92" s="17" t="n"/>
      <c r="F92" s="17" t="n"/>
      <c r="G92" s="21" t="n"/>
      <c r="H92" s="17" t="n"/>
      <c r="I92" s="17" t="n"/>
      <c r="J92" s="17" t="n"/>
      <c r="K92" s="17" t="n"/>
    </row>
    <row r="93">
      <c r="A93" s="17" t="n"/>
      <c r="B93" s="18" t="n"/>
      <c r="C93" s="17" t="n"/>
      <c r="D93" s="17" t="n"/>
      <c r="E93" s="17" t="n"/>
      <c r="F93" s="17" t="n"/>
      <c r="G93" s="21" t="n"/>
      <c r="H93" s="17" t="n"/>
      <c r="I93" s="17" t="n"/>
      <c r="J93" s="17" t="n"/>
      <c r="K93" s="17" t="n"/>
    </row>
    <row r="94">
      <c r="A94" s="17" t="n"/>
      <c r="B94" s="18" t="n"/>
      <c r="C94" s="17" t="n"/>
      <c r="D94" s="17" t="n"/>
      <c r="E94" s="17" t="n"/>
      <c r="F94" s="17" t="n"/>
      <c r="G94" s="21" t="n"/>
      <c r="H94" s="17" t="n"/>
      <c r="I94" s="17" t="n"/>
      <c r="J94" s="17" t="n"/>
      <c r="K94" s="17" t="n"/>
    </row>
    <row r="95">
      <c r="A95" s="17" t="n"/>
      <c r="B95" s="18" t="n"/>
      <c r="C95" s="17" t="n"/>
      <c r="D95" s="17" t="n"/>
      <c r="E95" s="17" t="n"/>
      <c r="F95" s="17" t="n"/>
      <c r="G95" s="21" t="n"/>
      <c r="H95" s="17" t="n"/>
      <c r="I95" s="17" t="n"/>
      <c r="J95" s="17" t="n"/>
      <c r="K95" s="17" t="n"/>
    </row>
    <row r="96">
      <c r="A96" s="17" t="n"/>
      <c r="B96" s="18" t="n"/>
      <c r="C96" s="17" t="n"/>
      <c r="D96" s="17" t="n"/>
      <c r="E96" s="17" t="n"/>
      <c r="F96" s="17" t="n"/>
      <c r="G96" s="21" t="n"/>
      <c r="H96" s="17" t="n"/>
      <c r="I96" s="17" t="n"/>
      <c r="J96" s="17" t="n"/>
      <c r="K96" s="17" t="n"/>
    </row>
    <row r="97">
      <c r="A97" s="17" t="n"/>
      <c r="B97" s="18" t="n"/>
      <c r="C97" s="17" t="n"/>
      <c r="D97" s="17" t="n"/>
      <c r="E97" s="17" t="n"/>
      <c r="F97" s="17" t="n"/>
      <c r="G97" s="21" t="n"/>
      <c r="H97" s="17" t="n"/>
      <c r="I97" s="17" t="n"/>
      <c r="J97" s="17" t="n"/>
      <c r="K97" s="17" t="n"/>
    </row>
    <row r="98">
      <c r="A98" s="17" t="n"/>
      <c r="B98" s="18" t="n"/>
      <c r="C98" s="17" t="n"/>
      <c r="D98" s="17" t="n"/>
      <c r="E98" s="17" t="n"/>
      <c r="F98" s="17" t="n"/>
      <c r="G98" s="21" t="n"/>
      <c r="H98" s="17" t="n"/>
      <c r="I98" s="17" t="n"/>
      <c r="J98" s="17" t="n"/>
      <c r="K98" s="17" t="n"/>
    </row>
    <row r="99">
      <c r="A99" s="17" t="n"/>
      <c r="B99" s="18" t="n"/>
      <c r="C99" s="17" t="n"/>
      <c r="D99" s="17" t="n"/>
      <c r="E99" s="17" t="n"/>
      <c r="F99" s="17" t="n"/>
      <c r="G99" s="21" t="n"/>
      <c r="H99" s="17" t="n"/>
      <c r="I99" s="17" t="n"/>
      <c r="J99" s="17" t="n"/>
      <c r="K99" s="17" t="n"/>
    </row>
    <row r="100">
      <c r="A100" s="17" t="n"/>
      <c r="B100" s="18" t="n"/>
      <c r="C100" s="17" t="n"/>
      <c r="D100" s="17" t="n"/>
      <c r="E100" s="17" t="n"/>
      <c r="F100" s="17" t="n"/>
      <c r="G100" s="21" t="n"/>
      <c r="H100" s="17" t="n"/>
      <c r="I100" s="17" t="n"/>
      <c r="J100" s="17" t="n"/>
      <c r="K100" s="17" t="n"/>
    </row>
    <row r="101">
      <c r="A101" s="17" t="n"/>
      <c r="B101" s="18" t="n"/>
      <c r="C101" s="17" t="n"/>
      <c r="D101" s="17" t="n"/>
      <c r="E101" s="17" t="n"/>
      <c r="F101" s="17" t="n"/>
      <c r="G101" s="21" t="n"/>
      <c r="H101" s="17" t="n"/>
      <c r="I101" s="17" t="n"/>
      <c r="J101" s="17" t="n"/>
      <c r="K101" s="17" t="n"/>
    </row>
    <row r="102">
      <c r="A102" s="17" t="n"/>
      <c r="B102" s="18" t="n"/>
      <c r="C102" s="17" t="n"/>
      <c r="D102" s="17" t="n"/>
      <c r="E102" s="17" t="n"/>
      <c r="F102" s="17" t="n"/>
      <c r="G102" s="21" t="n"/>
      <c r="H102" s="17" t="n"/>
      <c r="I102" s="17" t="n"/>
      <c r="J102" s="17" t="n"/>
      <c r="K102" s="17" t="n"/>
    </row>
    <row r="103">
      <c r="A103" s="17" t="n"/>
      <c r="B103" s="18" t="n"/>
      <c r="C103" s="17" t="n"/>
      <c r="D103" s="17" t="n"/>
      <c r="E103" s="17" t="n"/>
      <c r="F103" s="17" t="n"/>
      <c r="G103" s="21" t="n"/>
      <c r="H103" s="17" t="n"/>
      <c r="I103" s="17" t="n"/>
      <c r="J103" s="17" t="n"/>
      <c r="K103" s="17" t="n"/>
    </row>
    <row r="104">
      <c r="A104" s="17" t="n"/>
      <c r="B104" s="18" t="n"/>
      <c r="C104" s="17" t="n"/>
      <c r="D104" s="17" t="n"/>
      <c r="E104" s="17" t="n"/>
      <c r="F104" s="17" t="n"/>
      <c r="G104" s="21" t="n"/>
      <c r="H104" s="17" t="n"/>
      <c r="I104" s="17" t="n"/>
      <c r="J104" s="17" t="n"/>
      <c r="K104" s="17" t="n"/>
    </row>
    <row r="105">
      <c r="A105" s="17" t="n"/>
      <c r="B105" s="18" t="n"/>
      <c r="C105" s="17" t="n"/>
      <c r="D105" s="17" t="n"/>
      <c r="E105" s="17" t="n"/>
      <c r="F105" s="17" t="n"/>
      <c r="G105" s="21" t="n"/>
      <c r="H105" s="17" t="n"/>
      <c r="I105" s="17" t="n"/>
      <c r="J105" s="17" t="n"/>
      <c r="K105" s="17" t="n"/>
    </row>
    <row r="106">
      <c r="A106" s="17" t="n"/>
      <c r="B106" s="18" t="n"/>
      <c r="C106" s="17" t="n"/>
      <c r="D106" s="17" t="n"/>
      <c r="E106" s="17" t="n"/>
      <c r="F106" s="17" t="n"/>
      <c r="G106" s="21" t="n"/>
      <c r="H106" s="17" t="n"/>
      <c r="I106" s="17" t="n"/>
      <c r="J106" s="17" t="n"/>
      <c r="K106" s="17" t="n"/>
    </row>
    <row r="107">
      <c r="A107" s="17" t="n"/>
      <c r="B107" s="18" t="n"/>
      <c r="C107" s="17" t="n"/>
      <c r="D107" s="17" t="n"/>
      <c r="E107" s="17" t="n"/>
      <c r="F107" s="17" t="n"/>
      <c r="G107" s="21" t="n"/>
      <c r="H107" s="17" t="n"/>
      <c r="I107" s="17" t="n"/>
      <c r="J107" s="17" t="n"/>
      <c r="K107" s="17" t="n"/>
    </row>
    <row r="108">
      <c r="A108" s="17" t="n"/>
      <c r="B108" s="18" t="n"/>
      <c r="C108" s="17" t="n"/>
      <c r="D108" s="17" t="n"/>
      <c r="E108" s="17" t="n"/>
      <c r="F108" s="17" t="n"/>
      <c r="G108" s="21" t="n"/>
      <c r="H108" s="17" t="n"/>
      <c r="I108" s="17" t="n"/>
      <c r="J108" s="17" t="n"/>
      <c r="K108" s="17" t="n"/>
    </row>
    <row r="109">
      <c r="A109" s="17" t="n"/>
      <c r="B109" s="18" t="n"/>
      <c r="C109" s="17" t="n"/>
      <c r="D109" s="17" t="n"/>
      <c r="E109" s="17" t="n"/>
      <c r="F109" s="17" t="n"/>
      <c r="G109" s="21" t="n"/>
      <c r="H109" s="17" t="n"/>
      <c r="I109" s="17" t="n"/>
      <c r="J109" s="17" t="n"/>
      <c r="K109" s="17" t="n"/>
    </row>
    <row r="110">
      <c r="A110" s="17" t="n"/>
      <c r="B110" s="18" t="n"/>
      <c r="C110" s="17" t="n"/>
      <c r="D110" s="17" t="n"/>
      <c r="E110" s="17" t="n"/>
      <c r="F110" s="17" t="n"/>
      <c r="G110" s="21" t="n"/>
      <c r="H110" s="17" t="n"/>
      <c r="I110" s="17" t="n"/>
      <c r="J110" s="17" t="n"/>
      <c r="K110" s="17" t="n"/>
    </row>
    <row r="111">
      <c r="A111" s="17" t="n"/>
      <c r="B111" s="18" t="n"/>
      <c r="C111" s="17" t="n"/>
      <c r="D111" s="17" t="n"/>
      <c r="E111" s="17" t="n"/>
      <c r="F111" s="17" t="n"/>
      <c r="G111" s="21" t="n"/>
      <c r="H111" s="17" t="n"/>
      <c r="I111" s="17" t="n"/>
      <c r="J111" s="17" t="n"/>
      <c r="K111" s="17" t="n"/>
    </row>
    <row r="112">
      <c r="A112" s="17" t="n"/>
      <c r="B112" s="18" t="n"/>
      <c r="C112" s="17" t="n"/>
      <c r="D112" s="17" t="n"/>
      <c r="E112" s="17" t="n"/>
      <c r="F112" s="17" t="n"/>
      <c r="G112" s="21" t="n"/>
      <c r="H112" s="17" t="n"/>
      <c r="I112" s="17" t="n"/>
      <c r="J112" s="17" t="n"/>
      <c r="K112" s="17" t="n"/>
    </row>
    <row r="113">
      <c r="A113" s="17" t="n"/>
      <c r="B113" s="18" t="n"/>
      <c r="C113" s="17" t="n"/>
      <c r="D113" s="17" t="n"/>
      <c r="E113" s="17" t="n"/>
      <c r="F113" s="17" t="n"/>
      <c r="G113" s="21" t="n"/>
      <c r="H113" s="17" t="n"/>
      <c r="I113" s="17" t="n"/>
      <c r="J113" s="17" t="n"/>
      <c r="K113" s="17" t="n"/>
    </row>
    <row r="114">
      <c r="A114" s="17" t="n"/>
      <c r="B114" s="18" t="n"/>
      <c r="C114" s="17" t="n"/>
      <c r="D114" s="17" t="n"/>
      <c r="E114" s="17" t="n"/>
      <c r="F114" s="17" t="n"/>
      <c r="G114" s="21" t="n"/>
      <c r="H114" s="17" t="n"/>
      <c r="I114" s="17" t="n"/>
      <c r="J114" s="17" t="n"/>
      <c r="K114" s="17" t="n"/>
    </row>
    <row r="115">
      <c r="A115" s="17" t="n"/>
      <c r="B115" s="18" t="n"/>
      <c r="C115" s="17" t="n"/>
      <c r="D115" s="17" t="n"/>
      <c r="E115" s="17" t="n"/>
      <c r="F115" s="17" t="n"/>
      <c r="G115" s="21" t="n"/>
      <c r="H115" s="17" t="n"/>
      <c r="I115" s="17" t="n"/>
      <c r="J115" s="17" t="n"/>
      <c r="K115" s="17" t="n"/>
    </row>
    <row r="116">
      <c r="A116" s="17" t="n"/>
      <c r="B116" s="18" t="n"/>
      <c r="C116" s="17" t="n"/>
      <c r="D116" s="17" t="n"/>
      <c r="E116" s="17" t="n"/>
      <c r="F116" s="17" t="n"/>
      <c r="G116" s="21" t="n"/>
      <c r="H116" s="17" t="n"/>
      <c r="I116" s="17" t="n"/>
      <c r="J116" s="17" t="n"/>
      <c r="K116" s="17" t="n"/>
    </row>
    <row r="117">
      <c r="A117" s="17" t="n"/>
      <c r="B117" s="18" t="n"/>
      <c r="C117" s="17" t="n"/>
      <c r="D117" s="17" t="n"/>
      <c r="E117" s="17" t="n"/>
      <c r="F117" s="17" t="n"/>
      <c r="G117" s="21" t="n"/>
      <c r="H117" s="17" t="n"/>
      <c r="I117" s="17" t="n"/>
      <c r="J117" s="17" t="n"/>
      <c r="K117" s="17" t="n"/>
    </row>
    <row r="118">
      <c r="A118" s="17" t="n"/>
      <c r="B118" s="18" t="n"/>
      <c r="C118" s="17" t="n"/>
      <c r="D118" s="17" t="n"/>
      <c r="E118" s="17" t="n"/>
      <c r="F118" s="17" t="n"/>
      <c r="G118" s="21" t="n"/>
      <c r="H118" s="17" t="n"/>
      <c r="I118" s="17" t="n"/>
      <c r="J118" s="17" t="n"/>
      <c r="K118" s="17" t="n"/>
    </row>
    <row r="119">
      <c r="A119" s="17" t="n"/>
      <c r="B119" s="18" t="n"/>
      <c r="C119" s="17" t="n"/>
      <c r="D119" s="17" t="n"/>
      <c r="E119" s="17" t="n"/>
      <c r="F119" s="17" t="n"/>
      <c r="G119" s="21" t="n"/>
      <c r="H119" s="17" t="n"/>
      <c r="I119" s="17" t="n"/>
      <c r="J119" s="17" t="n"/>
      <c r="K119" s="17" t="n"/>
    </row>
    <row r="120">
      <c r="A120" s="17" t="n"/>
      <c r="B120" s="18" t="n"/>
      <c r="C120" s="17" t="n"/>
      <c r="D120" s="17" t="n"/>
      <c r="E120" s="17" t="n"/>
      <c r="F120" s="17" t="n"/>
      <c r="G120" s="21" t="n"/>
      <c r="H120" s="17" t="n"/>
      <c r="I120" s="17" t="n"/>
      <c r="J120" s="17" t="n"/>
      <c r="K120" s="17" t="n"/>
    </row>
    <row r="121">
      <c r="A121" s="17" t="n"/>
      <c r="B121" s="18" t="n"/>
      <c r="C121" s="17" t="n"/>
      <c r="D121" s="17" t="n"/>
      <c r="E121" s="17" t="n"/>
      <c r="F121" s="17" t="n"/>
      <c r="G121" s="21" t="n"/>
      <c r="H121" s="17" t="n"/>
      <c r="I121" s="17" t="n"/>
      <c r="J121" s="17" t="n"/>
      <c r="K121" s="17" t="n"/>
    </row>
    <row r="122">
      <c r="A122" s="17" t="n"/>
      <c r="B122" s="18" t="n"/>
      <c r="C122" s="17" t="n"/>
      <c r="D122" s="17" t="n"/>
      <c r="E122" s="17" t="n"/>
      <c r="F122" s="17" t="n"/>
      <c r="G122" s="21" t="n"/>
      <c r="H122" s="17" t="n"/>
      <c r="I122" s="17" t="n"/>
      <c r="J122" s="17" t="n"/>
      <c r="K122" s="17" t="n"/>
    </row>
    <row r="123">
      <c r="A123" s="17" t="n"/>
      <c r="B123" s="18" t="n"/>
      <c r="C123" s="17" t="n"/>
      <c r="D123" s="17" t="n"/>
      <c r="E123" s="17" t="n"/>
      <c r="F123" s="17" t="n"/>
      <c r="G123" s="21" t="n"/>
      <c r="H123" s="17" t="n"/>
      <c r="I123" s="17" t="n"/>
      <c r="J123" s="17" t="n"/>
      <c r="K123" s="17" t="n"/>
    </row>
    <row r="124">
      <c r="A124" s="17" t="n"/>
      <c r="B124" s="18" t="n"/>
      <c r="C124" s="17" t="n"/>
      <c r="D124" s="17" t="n"/>
      <c r="E124" s="17" t="n"/>
      <c r="F124" s="17" t="n"/>
      <c r="G124" s="21" t="n"/>
      <c r="H124" s="17" t="n"/>
      <c r="I124" s="17" t="n"/>
      <c r="J124" s="17" t="n"/>
      <c r="K124" s="17" t="n"/>
    </row>
    <row r="125">
      <c r="A125" s="17" t="n"/>
      <c r="B125" s="18" t="n"/>
      <c r="C125" s="17" t="n"/>
      <c r="D125" s="17" t="n"/>
      <c r="E125" s="17" t="n"/>
      <c r="F125" s="17" t="n"/>
      <c r="G125" s="21" t="n"/>
      <c r="H125" s="17" t="n"/>
      <c r="I125" s="17" t="n"/>
      <c r="J125" s="17" t="n"/>
      <c r="K125" s="17" t="n"/>
    </row>
    <row r="126">
      <c r="A126" s="17" t="n"/>
      <c r="B126" s="18" t="n"/>
      <c r="C126" s="17" t="n"/>
      <c r="D126" s="17" t="n"/>
      <c r="E126" s="17" t="n"/>
      <c r="F126" s="17" t="n"/>
      <c r="G126" s="21" t="n"/>
      <c r="H126" s="17" t="n"/>
      <c r="I126" s="17" t="n"/>
      <c r="J126" s="17" t="n"/>
      <c r="K126" s="17" t="n"/>
    </row>
    <row r="127">
      <c r="A127" s="17" t="n"/>
      <c r="B127" s="18" t="n"/>
      <c r="C127" s="17" t="n"/>
      <c r="D127" s="17" t="n"/>
      <c r="E127" s="17" t="n"/>
      <c r="F127" s="17" t="n"/>
      <c r="G127" s="21" t="n"/>
      <c r="H127" s="17" t="n"/>
      <c r="I127" s="17" t="n"/>
      <c r="J127" s="17" t="n"/>
      <c r="K127" s="17" t="n"/>
    </row>
    <row r="128">
      <c r="A128" s="17" t="n"/>
      <c r="B128" s="18" t="n"/>
      <c r="C128" s="17" t="n"/>
      <c r="D128" s="17" t="n"/>
      <c r="E128" s="17" t="n"/>
      <c r="F128" s="17" t="n"/>
      <c r="G128" s="21" t="n"/>
      <c r="H128" s="17" t="n"/>
      <c r="I128" s="17" t="n"/>
      <c r="J128" s="17" t="n"/>
      <c r="K128" s="17" t="n"/>
    </row>
    <row r="129">
      <c r="A129" s="17" t="n"/>
      <c r="B129" s="18" t="n"/>
      <c r="C129" s="17" t="n"/>
      <c r="D129" s="17" t="n"/>
      <c r="E129" s="17" t="n"/>
      <c r="F129" s="17" t="n"/>
      <c r="G129" s="21" t="n"/>
      <c r="H129" s="17" t="n"/>
      <c r="I129" s="17" t="n"/>
      <c r="J129" s="17" t="n"/>
      <c r="K129" s="17" t="n"/>
    </row>
    <row r="130">
      <c r="A130" s="17" t="n"/>
      <c r="B130" s="18" t="n"/>
      <c r="C130" s="17" t="n"/>
      <c r="D130" s="17" t="n"/>
      <c r="E130" s="17" t="n"/>
      <c r="F130" s="17" t="n"/>
      <c r="G130" s="21" t="n"/>
      <c r="H130" s="17" t="n"/>
      <c r="I130" s="17" t="n"/>
      <c r="J130" s="17" t="n"/>
      <c r="K130" s="17" t="n"/>
    </row>
    <row r="131">
      <c r="A131" s="17" t="n"/>
      <c r="B131" s="18" t="n"/>
      <c r="C131" s="17" t="n"/>
      <c r="D131" s="17" t="n"/>
      <c r="E131" s="17" t="n"/>
      <c r="F131" s="17" t="n"/>
      <c r="G131" s="21" t="n"/>
      <c r="H131" s="17" t="n"/>
      <c r="I131" s="17" t="n"/>
      <c r="J131" s="17" t="n"/>
      <c r="K131" s="17" t="n"/>
    </row>
    <row r="132">
      <c r="A132" s="17" t="n"/>
      <c r="B132" s="18" t="n"/>
      <c r="C132" s="17" t="n"/>
      <c r="D132" s="17" t="n"/>
      <c r="E132" s="17" t="n"/>
      <c r="F132" s="17" t="n"/>
      <c r="G132" s="21" t="n"/>
      <c r="H132" s="17" t="n"/>
      <c r="I132" s="17" t="n"/>
      <c r="J132" s="17" t="n"/>
      <c r="K132" s="17" t="n"/>
    </row>
    <row r="133">
      <c r="A133" s="17" t="n"/>
      <c r="B133" s="18" t="n"/>
      <c r="C133" s="17" t="n"/>
      <c r="D133" s="17" t="n"/>
      <c r="E133" s="17" t="n"/>
      <c r="F133" s="17" t="n"/>
      <c r="G133" s="21" t="n"/>
      <c r="H133" s="17" t="n"/>
      <c r="I133" s="17" t="n"/>
      <c r="J133" s="17" t="n"/>
      <c r="K133" s="17" t="n"/>
    </row>
    <row r="134">
      <c r="A134" s="17" t="n"/>
      <c r="B134" s="18" t="n"/>
      <c r="C134" s="17" t="n"/>
      <c r="D134" s="17" t="n"/>
      <c r="E134" s="17" t="n"/>
      <c r="F134" s="17" t="n"/>
      <c r="G134" s="21" t="n"/>
      <c r="H134" s="17" t="n"/>
      <c r="I134" s="17" t="n"/>
      <c r="J134" s="17" t="n"/>
      <c r="K134" s="17" t="n"/>
    </row>
    <row r="135">
      <c r="A135" s="17" t="n"/>
      <c r="B135" s="18" t="n"/>
      <c r="C135" s="17" t="n"/>
      <c r="D135" s="17" t="n"/>
      <c r="E135" s="17" t="n"/>
      <c r="F135" s="17" t="n"/>
      <c r="G135" s="21" t="n"/>
      <c r="H135" s="17" t="n"/>
      <c r="I135" s="17" t="n"/>
      <c r="J135" s="17" t="n"/>
      <c r="K135" s="17" t="n"/>
    </row>
    <row r="136">
      <c r="A136" s="17" t="n"/>
      <c r="B136" s="18" t="n"/>
      <c r="C136" s="17" t="n"/>
      <c r="D136" s="17" t="n"/>
      <c r="E136" s="17" t="n"/>
      <c r="F136" s="17" t="n"/>
      <c r="G136" s="21" t="n"/>
      <c r="H136" s="17" t="n"/>
      <c r="I136" s="17" t="n"/>
      <c r="J136" s="17" t="n"/>
      <c r="K136" s="17" t="n"/>
    </row>
    <row r="137">
      <c r="A137" s="17" t="n"/>
      <c r="B137" s="18" t="n"/>
      <c r="C137" s="17" t="n"/>
      <c r="D137" s="17" t="n"/>
      <c r="E137" s="17" t="n"/>
      <c r="F137" s="17" t="n"/>
      <c r="G137" s="21" t="n"/>
      <c r="H137" s="17" t="n"/>
      <c r="I137" s="17" t="n"/>
      <c r="J137" s="17" t="n"/>
      <c r="K137" s="17" t="n"/>
    </row>
    <row r="138">
      <c r="A138" s="17" t="n"/>
      <c r="B138" s="18" t="n"/>
      <c r="C138" s="17" t="n"/>
      <c r="D138" s="17" t="n"/>
      <c r="E138" s="17" t="n"/>
      <c r="F138" s="17" t="n"/>
      <c r="G138" s="21" t="n"/>
      <c r="H138" s="17" t="n"/>
      <c r="I138" s="17" t="n"/>
      <c r="J138" s="17" t="n"/>
      <c r="K138" s="17" t="n"/>
    </row>
    <row r="139">
      <c r="A139" s="17" t="n"/>
      <c r="B139" s="18" t="n"/>
      <c r="C139" s="17" t="n"/>
      <c r="D139" s="17" t="n"/>
      <c r="E139" s="17" t="n"/>
      <c r="F139" s="17" t="n"/>
      <c r="G139" s="21" t="n"/>
      <c r="H139" s="17" t="n"/>
      <c r="I139" s="17" t="n"/>
      <c r="J139" s="17" t="n"/>
      <c r="K139" s="17" t="n"/>
    </row>
    <row r="140">
      <c r="A140" s="17" t="n"/>
      <c r="B140" s="18" t="n"/>
      <c r="C140" s="17" t="n"/>
      <c r="D140" s="17" t="n"/>
      <c r="E140" s="17" t="n"/>
      <c r="F140" s="17" t="n"/>
      <c r="G140" s="21" t="n"/>
      <c r="H140" s="17" t="n"/>
      <c r="I140" s="17" t="n"/>
      <c r="J140" s="17" t="n"/>
      <c r="K140" s="17" t="n"/>
    </row>
    <row r="141">
      <c r="A141" s="17" t="n"/>
      <c r="B141" s="18" t="n"/>
      <c r="C141" s="17" t="n"/>
      <c r="D141" s="17" t="n"/>
      <c r="E141" s="17" t="n"/>
      <c r="F141" s="17" t="n"/>
      <c r="G141" s="21" t="n"/>
      <c r="H141" s="17" t="n"/>
      <c r="I141" s="17" t="n"/>
      <c r="J141" s="17" t="n"/>
      <c r="K141" s="17" t="n"/>
    </row>
    <row r="142">
      <c r="A142" s="17" t="n"/>
      <c r="B142" s="18" t="n"/>
      <c r="C142" s="17" t="n"/>
      <c r="D142" s="17" t="n"/>
      <c r="E142" s="17" t="n"/>
      <c r="F142" s="17" t="n"/>
      <c r="G142" s="21" t="n"/>
      <c r="H142" s="17" t="n"/>
      <c r="I142" s="17" t="n"/>
      <c r="J142" s="17" t="n"/>
      <c r="K142" s="17" t="n"/>
    </row>
    <row r="143">
      <c r="A143" s="17" t="n"/>
      <c r="B143" s="18" t="n"/>
      <c r="C143" s="17" t="n"/>
      <c r="D143" s="17" t="n"/>
      <c r="E143" s="17" t="n"/>
      <c r="F143" s="17" t="n"/>
      <c r="G143" s="21" t="n"/>
      <c r="H143" s="17" t="n"/>
      <c r="I143" s="17" t="n"/>
      <c r="J143" s="17" t="n"/>
      <c r="K143" s="17" t="n"/>
    </row>
    <row r="144">
      <c r="A144" s="17" t="n"/>
      <c r="B144" s="18" t="n"/>
      <c r="C144" s="17" t="n"/>
      <c r="D144" s="17" t="n"/>
      <c r="E144" s="17" t="n"/>
      <c r="F144" s="17" t="n"/>
      <c r="G144" s="21" t="n"/>
      <c r="H144" s="17" t="n"/>
      <c r="I144" s="17" t="n"/>
      <c r="J144" s="17" t="n"/>
      <c r="K144" s="17" t="n"/>
    </row>
    <row r="145">
      <c r="A145" s="17" t="n"/>
      <c r="B145" s="18" t="n"/>
      <c r="C145" s="17" t="n"/>
      <c r="D145" s="17" t="n"/>
      <c r="E145" s="17" t="n"/>
      <c r="F145" s="17" t="n"/>
      <c r="G145" s="21" t="n"/>
      <c r="H145" s="17" t="n"/>
      <c r="I145" s="17" t="n"/>
      <c r="J145" s="17" t="n"/>
      <c r="K145" s="17" t="n"/>
    </row>
    <row r="146">
      <c r="A146" s="17" t="n"/>
      <c r="B146" s="18" t="n"/>
      <c r="C146" s="17" t="n"/>
      <c r="D146" s="17" t="n"/>
      <c r="E146" s="17" t="n"/>
      <c r="F146" s="17" t="n"/>
      <c r="G146" s="21" t="n"/>
      <c r="H146" s="17" t="n"/>
      <c r="I146" s="17" t="n"/>
      <c r="J146" s="17" t="n"/>
      <c r="K146" s="17" t="n"/>
    </row>
    <row r="147">
      <c r="A147" s="17" t="n"/>
      <c r="B147" s="18" t="n"/>
      <c r="C147" s="17" t="n"/>
      <c r="D147" s="17" t="n"/>
      <c r="E147" s="17" t="n"/>
      <c r="F147" s="17" t="n"/>
      <c r="G147" s="21" t="n"/>
      <c r="H147" s="17" t="n"/>
      <c r="I147" s="17" t="n"/>
      <c r="J147" s="17" t="n"/>
      <c r="K147" s="17" t="n"/>
    </row>
    <row r="148">
      <c r="A148" s="17" t="n"/>
      <c r="B148" s="18" t="n"/>
      <c r="C148" s="17" t="n"/>
      <c r="D148" s="17" t="n"/>
      <c r="E148" s="17" t="n"/>
      <c r="F148" s="17" t="n"/>
      <c r="G148" s="21" t="n"/>
      <c r="H148" s="17" t="n"/>
      <c r="I148" s="17" t="n"/>
      <c r="J148" s="17" t="n"/>
      <c r="K148" s="17" t="n"/>
    </row>
    <row r="149">
      <c r="A149" s="17" t="n"/>
      <c r="B149" s="18" t="n"/>
      <c r="C149" s="17" t="n"/>
      <c r="D149" s="17" t="n"/>
      <c r="E149" s="17" t="n"/>
      <c r="F149" s="17" t="n"/>
      <c r="G149" s="21" t="n"/>
      <c r="H149" s="17" t="n"/>
      <c r="I149" s="17" t="n"/>
      <c r="J149" s="17" t="n"/>
      <c r="K149" s="17" t="n"/>
    </row>
    <row r="150">
      <c r="A150" s="17" t="n"/>
      <c r="B150" s="18" t="n"/>
      <c r="C150" s="17" t="n"/>
      <c r="D150" s="17" t="n"/>
      <c r="E150" s="17" t="n"/>
      <c r="F150" s="17" t="n"/>
      <c r="G150" s="21" t="n"/>
      <c r="H150" s="17" t="n"/>
      <c r="I150" s="17" t="n"/>
      <c r="J150" s="17" t="n"/>
      <c r="K150" s="17" t="n"/>
    </row>
    <row r="151">
      <c r="A151" s="17" t="n"/>
      <c r="B151" s="18" t="n"/>
      <c r="C151" s="17" t="n"/>
      <c r="D151" s="17" t="n"/>
      <c r="E151" s="17" t="n"/>
      <c r="F151" s="17" t="n"/>
      <c r="G151" s="21" t="n"/>
      <c r="H151" s="17" t="n"/>
      <c r="I151" s="17" t="n"/>
      <c r="J151" s="17" t="n"/>
      <c r="K151" s="17" t="n"/>
    </row>
  </sheetData>
  <autoFilter ref="A1:K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2026-08-16T01:08:41Z</dcterms:created>
  <dcterms:modified xsi:type="dcterms:W3CDTF">2026-08-16T01:08:41Z</dcterms:modified>
</cp:coreProperties>
</file>